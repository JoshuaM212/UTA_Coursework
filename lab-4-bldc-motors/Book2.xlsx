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\VS CODE\lab-4-bldc-motors\lab-4-bldc-motors\"/>
    </mc:Choice>
  </mc:AlternateContent>
  <xr:revisionPtr revIDLastSave="0" documentId="13_ncr:1_{297027F8-08F8-49C2-9CA9-D6365374083F}" xr6:coauthVersionLast="47" xr6:coauthVersionMax="47" xr10:uidLastSave="{00000000-0000-0000-0000-000000000000}"/>
  <bookViews>
    <workbookView xWindow="-110" yWindow="-110" windowWidth="19420" windowHeight="10300" activeTab="1" xr2:uid="{505729C8-904D-E549-B3A2-55FE3C2AB5F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2" l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" i="2"/>
  <c r="R4" i="2"/>
  <c r="R5" i="2" s="1"/>
  <c r="R6" i="2" s="1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R38" i="2" s="1"/>
  <c r="L5" i="2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" i="2"/>
</calcChain>
</file>

<file path=xl/sharedStrings.xml><?xml version="1.0" encoding="utf-8"?>
<sst xmlns="http://schemas.openxmlformats.org/spreadsheetml/2006/main" count="34" uniqueCount="13">
  <si>
    <t>angle</t>
  </si>
  <si>
    <t>state</t>
  </si>
  <si>
    <t>b</t>
  </si>
  <si>
    <t>a</t>
  </si>
  <si>
    <t>c</t>
  </si>
  <si>
    <t>Sensor B</t>
  </si>
  <si>
    <t>Sensor A</t>
  </si>
  <si>
    <t>Sensor C</t>
  </si>
  <si>
    <t>14. What is the min speed required to get an accurate comparator output?</t>
  </si>
  <si>
    <t>Around 8700</t>
  </si>
  <si>
    <t>12. What is the range of voltage on phase c?</t>
  </si>
  <si>
    <t>The range is from 7.4 V to -.8V</t>
  </si>
  <si>
    <t>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</si>
</sst>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Hall</a:t>
            </a:r>
            <a:r>
              <a:rPr lang="en-US" baseline="0"/>
              <a:t> Sensor B Output vs Phase Angle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0</c:v>
                </c:pt>
                <c:pt idx="1">
                  <c:v>19</c:v>
                </c:pt>
                <c:pt idx="2">
                  <c:v>20</c:v>
                </c:pt>
                <c:pt idx="3">
                  <c:v>109</c:v>
                </c:pt>
                <c:pt idx="4">
                  <c:v>110</c:v>
                </c:pt>
                <c:pt idx="5">
                  <c:v>199</c:v>
                </c:pt>
                <c:pt idx="6">
                  <c:v>200</c:v>
                </c:pt>
                <c:pt idx="7">
                  <c:v>289</c:v>
                </c:pt>
                <c:pt idx="8">
                  <c:v>290</c:v>
                </c:pt>
                <c:pt idx="9">
                  <c:v>360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25-BB45-9F75-9B8F33F30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82624"/>
        <c:axId val="71243760"/>
      </c:scatterChart>
      <c:valAx>
        <c:axId val="7058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43760"/>
        <c:crosses val="autoZero"/>
        <c:crossBetween val="midCat"/>
      </c:valAx>
      <c:valAx>
        <c:axId val="7124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82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Hall</a:t>
            </a:r>
            <a:r>
              <a:rPr lang="en-US" baseline="0"/>
              <a:t> Sensor A Output vs Phase Angle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state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Sheet1!$D$2:$D$9</c:f>
              <c:numCache>
                <c:formatCode>General</c:formatCode>
                <c:ptCount val="8"/>
                <c:pt idx="0">
                  <c:v>0</c:v>
                </c:pt>
                <c:pt idx="1">
                  <c:v>89</c:v>
                </c:pt>
                <c:pt idx="2">
                  <c:v>90</c:v>
                </c:pt>
                <c:pt idx="3">
                  <c:v>179</c:v>
                </c:pt>
                <c:pt idx="4">
                  <c:v>180</c:v>
                </c:pt>
                <c:pt idx="5">
                  <c:v>269</c:v>
                </c:pt>
                <c:pt idx="6">
                  <c:v>270</c:v>
                </c:pt>
                <c:pt idx="7">
                  <c:v>360</c:v>
                </c:pt>
              </c:numCache>
            </c:numRef>
          </c:xVal>
          <c:yVal>
            <c:numRef>
              <c:f>Sheet1!$E$2:$E$9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DD-0745-8B2E-4EDDDB974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48976"/>
        <c:axId val="34162816"/>
      </c:scatterChart>
      <c:valAx>
        <c:axId val="705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62816"/>
        <c:crosses val="autoZero"/>
        <c:crossBetween val="midCat"/>
      </c:valAx>
      <c:valAx>
        <c:axId val="3416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48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Hall</a:t>
            </a:r>
            <a:r>
              <a:rPr lang="en-US" baseline="0"/>
              <a:t> Sensor C Output vs Phase Angle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state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Sheet1!$G$2:$G$10</c:f>
              <c:numCache>
                <c:formatCode>General</c:formatCode>
                <c:ptCount val="9"/>
                <c:pt idx="0">
                  <c:v>0</c:v>
                </c:pt>
                <c:pt idx="1">
                  <c:v>49</c:v>
                </c:pt>
                <c:pt idx="2">
                  <c:v>50</c:v>
                </c:pt>
                <c:pt idx="3">
                  <c:v>139</c:v>
                </c:pt>
                <c:pt idx="4">
                  <c:v>140</c:v>
                </c:pt>
                <c:pt idx="5">
                  <c:v>229</c:v>
                </c:pt>
                <c:pt idx="6">
                  <c:v>230</c:v>
                </c:pt>
                <c:pt idx="7">
                  <c:v>319</c:v>
                </c:pt>
                <c:pt idx="8">
                  <c:v>320</c:v>
                </c:pt>
              </c:numCache>
            </c:numRef>
          </c:xVal>
          <c:yVal>
            <c:numRef>
              <c:f>Sheet1!$H$2:$H$10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95-A24B-B80D-8D0671A09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947295"/>
        <c:axId val="1264953296"/>
      </c:scatterChart>
      <c:valAx>
        <c:axId val="185094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953296"/>
        <c:crosses val="autoZero"/>
        <c:crossBetween val="midCat"/>
      </c:valAx>
      <c:valAx>
        <c:axId val="126495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947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Hall Effect Sensor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Sheet2!$S$2</c:f>
              <c:strCache>
                <c:ptCount val="1"/>
                <c:pt idx="0">
                  <c:v>Sensor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Sheet2!$R$3:$R$74</c:f>
              <c:numCache>
                <c:formatCode>General</c:formatCode>
                <c:ptCount val="7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0</c:v>
                </c:pt>
                <c:pt idx="37">
                  <c:v>10</c:v>
                </c:pt>
                <c:pt idx="38">
                  <c:v>20</c:v>
                </c:pt>
                <c:pt idx="39">
                  <c:v>30</c:v>
                </c:pt>
                <c:pt idx="40">
                  <c:v>40</c:v>
                </c:pt>
                <c:pt idx="41">
                  <c:v>50</c:v>
                </c:pt>
                <c:pt idx="42">
                  <c:v>60</c:v>
                </c:pt>
                <c:pt idx="43">
                  <c:v>70</c:v>
                </c:pt>
                <c:pt idx="44">
                  <c:v>80</c:v>
                </c:pt>
                <c:pt idx="45">
                  <c:v>90</c:v>
                </c:pt>
                <c:pt idx="46">
                  <c:v>100</c:v>
                </c:pt>
                <c:pt idx="47">
                  <c:v>110</c:v>
                </c:pt>
                <c:pt idx="48">
                  <c:v>120</c:v>
                </c:pt>
                <c:pt idx="49">
                  <c:v>130</c:v>
                </c:pt>
                <c:pt idx="50">
                  <c:v>140</c:v>
                </c:pt>
                <c:pt idx="51">
                  <c:v>150</c:v>
                </c:pt>
                <c:pt idx="52">
                  <c:v>160</c:v>
                </c:pt>
                <c:pt idx="53">
                  <c:v>170</c:v>
                </c:pt>
                <c:pt idx="54">
                  <c:v>180</c:v>
                </c:pt>
                <c:pt idx="55">
                  <c:v>190</c:v>
                </c:pt>
                <c:pt idx="56">
                  <c:v>200</c:v>
                </c:pt>
                <c:pt idx="57">
                  <c:v>210</c:v>
                </c:pt>
                <c:pt idx="58">
                  <c:v>220</c:v>
                </c:pt>
                <c:pt idx="59">
                  <c:v>230</c:v>
                </c:pt>
                <c:pt idx="60">
                  <c:v>240</c:v>
                </c:pt>
                <c:pt idx="61">
                  <c:v>250</c:v>
                </c:pt>
                <c:pt idx="62">
                  <c:v>260</c:v>
                </c:pt>
                <c:pt idx="63">
                  <c:v>270</c:v>
                </c:pt>
                <c:pt idx="64">
                  <c:v>280</c:v>
                </c:pt>
                <c:pt idx="65">
                  <c:v>290</c:v>
                </c:pt>
                <c:pt idx="66">
                  <c:v>300</c:v>
                </c:pt>
                <c:pt idx="67">
                  <c:v>310</c:v>
                </c:pt>
                <c:pt idx="68">
                  <c:v>320</c:v>
                </c:pt>
                <c:pt idx="69">
                  <c:v>330</c:v>
                </c:pt>
                <c:pt idx="70">
                  <c:v>340</c:v>
                </c:pt>
                <c:pt idx="71">
                  <c:v>350</c:v>
                </c:pt>
              </c:numCache>
            </c:numRef>
          </c:cat>
          <c:val>
            <c:numRef>
              <c:f>Sheet2!$S$3:$S$74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5-45E4-B103-9BE09E97EBE3}"/>
            </c:ext>
          </c:extLst>
        </c:ser>
        <c:ser>
          <c:idx val="1"/>
          <c:order val="1"/>
          <c:tx>
            <c:strRef>
              <c:f>Sheet2!$T$2</c:f>
              <c:strCache>
                <c:ptCount val="1"/>
                <c:pt idx="0">
                  <c:v>Sensor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Sheet2!$R$3:$R$74</c:f>
              <c:numCache>
                <c:formatCode>General</c:formatCode>
                <c:ptCount val="7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0</c:v>
                </c:pt>
                <c:pt idx="37">
                  <c:v>10</c:v>
                </c:pt>
                <c:pt idx="38">
                  <c:v>20</c:v>
                </c:pt>
                <c:pt idx="39">
                  <c:v>30</c:v>
                </c:pt>
                <c:pt idx="40">
                  <c:v>40</c:v>
                </c:pt>
                <c:pt idx="41">
                  <c:v>50</c:v>
                </c:pt>
                <c:pt idx="42">
                  <c:v>60</c:v>
                </c:pt>
                <c:pt idx="43">
                  <c:v>70</c:v>
                </c:pt>
                <c:pt idx="44">
                  <c:v>80</c:v>
                </c:pt>
                <c:pt idx="45">
                  <c:v>90</c:v>
                </c:pt>
                <c:pt idx="46">
                  <c:v>100</c:v>
                </c:pt>
                <c:pt idx="47">
                  <c:v>110</c:v>
                </c:pt>
                <c:pt idx="48">
                  <c:v>120</c:v>
                </c:pt>
                <c:pt idx="49">
                  <c:v>130</c:v>
                </c:pt>
                <c:pt idx="50">
                  <c:v>140</c:v>
                </c:pt>
                <c:pt idx="51">
                  <c:v>150</c:v>
                </c:pt>
                <c:pt idx="52">
                  <c:v>160</c:v>
                </c:pt>
                <c:pt idx="53">
                  <c:v>170</c:v>
                </c:pt>
                <c:pt idx="54">
                  <c:v>180</c:v>
                </c:pt>
                <c:pt idx="55">
                  <c:v>190</c:v>
                </c:pt>
                <c:pt idx="56">
                  <c:v>200</c:v>
                </c:pt>
                <c:pt idx="57">
                  <c:v>210</c:v>
                </c:pt>
                <c:pt idx="58">
                  <c:v>220</c:v>
                </c:pt>
                <c:pt idx="59">
                  <c:v>230</c:v>
                </c:pt>
                <c:pt idx="60">
                  <c:v>240</c:v>
                </c:pt>
                <c:pt idx="61">
                  <c:v>250</c:v>
                </c:pt>
                <c:pt idx="62">
                  <c:v>260</c:v>
                </c:pt>
                <c:pt idx="63">
                  <c:v>270</c:v>
                </c:pt>
                <c:pt idx="64">
                  <c:v>280</c:v>
                </c:pt>
                <c:pt idx="65">
                  <c:v>290</c:v>
                </c:pt>
                <c:pt idx="66">
                  <c:v>300</c:v>
                </c:pt>
                <c:pt idx="67">
                  <c:v>310</c:v>
                </c:pt>
                <c:pt idx="68">
                  <c:v>320</c:v>
                </c:pt>
                <c:pt idx="69">
                  <c:v>330</c:v>
                </c:pt>
                <c:pt idx="70">
                  <c:v>340</c:v>
                </c:pt>
                <c:pt idx="71">
                  <c:v>350</c:v>
                </c:pt>
              </c:numCache>
            </c:numRef>
          </c:cat>
          <c:val>
            <c:numRef>
              <c:f>Sheet2!$T$3:$T$74</c:f>
              <c:numCache>
                <c:formatCode>General</c:formatCode>
                <c:ptCount val="72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5-45E4-B103-9BE09E97EBE3}"/>
            </c:ext>
          </c:extLst>
        </c:ser>
        <c:ser>
          <c:idx val="2"/>
          <c:order val="2"/>
          <c:tx>
            <c:strRef>
              <c:f>Sheet2!$U$2</c:f>
              <c:strCache>
                <c:ptCount val="1"/>
                <c:pt idx="0">
                  <c:v>Sensor 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Sheet2!$R$3:$R$74</c:f>
              <c:numCache>
                <c:formatCode>General</c:formatCode>
                <c:ptCount val="7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0</c:v>
                </c:pt>
                <c:pt idx="37">
                  <c:v>10</c:v>
                </c:pt>
                <c:pt idx="38">
                  <c:v>20</c:v>
                </c:pt>
                <c:pt idx="39">
                  <c:v>30</c:v>
                </c:pt>
                <c:pt idx="40">
                  <c:v>40</c:v>
                </c:pt>
                <c:pt idx="41">
                  <c:v>50</c:v>
                </c:pt>
                <c:pt idx="42">
                  <c:v>60</c:v>
                </c:pt>
                <c:pt idx="43">
                  <c:v>70</c:v>
                </c:pt>
                <c:pt idx="44">
                  <c:v>80</c:v>
                </c:pt>
                <c:pt idx="45">
                  <c:v>90</c:v>
                </c:pt>
                <c:pt idx="46">
                  <c:v>100</c:v>
                </c:pt>
                <c:pt idx="47">
                  <c:v>110</c:v>
                </c:pt>
                <c:pt idx="48">
                  <c:v>120</c:v>
                </c:pt>
                <c:pt idx="49">
                  <c:v>130</c:v>
                </c:pt>
                <c:pt idx="50">
                  <c:v>140</c:v>
                </c:pt>
                <c:pt idx="51">
                  <c:v>150</c:v>
                </c:pt>
                <c:pt idx="52">
                  <c:v>160</c:v>
                </c:pt>
                <c:pt idx="53">
                  <c:v>170</c:v>
                </c:pt>
                <c:pt idx="54">
                  <c:v>180</c:v>
                </c:pt>
                <c:pt idx="55">
                  <c:v>190</c:v>
                </c:pt>
                <c:pt idx="56">
                  <c:v>200</c:v>
                </c:pt>
                <c:pt idx="57">
                  <c:v>210</c:v>
                </c:pt>
                <c:pt idx="58">
                  <c:v>220</c:v>
                </c:pt>
                <c:pt idx="59">
                  <c:v>230</c:v>
                </c:pt>
                <c:pt idx="60">
                  <c:v>240</c:v>
                </c:pt>
                <c:pt idx="61">
                  <c:v>250</c:v>
                </c:pt>
                <c:pt idx="62">
                  <c:v>260</c:v>
                </c:pt>
                <c:pt idx="63">
                  <c:v>270</c:v>
                </c:pt>
                <c:pt idx="64">
                  <c:v>280</c:v>
                </c:pt>
                <c:pt idx="65">
                  <c:v>290</c:v>
                </c:pt>
                <c:pt idx="66">
                  <c:v>300</c:v>
                </c:pt>
                <c:pt idx="67">
                  <c:v>310</c:v>
                </c:pt>
                <c:pt idx="68">
                  <c:v>320</c:v>
                </c:pt>
                <c:pt idx="69">
                  <c:v>330</c:v>
                </c:pt>
                <c:pt idx="70">
                  <c:v>340</c:v>
                </c:pt>
                <c:pt idx="71">
                  <c:v>350</c:v>
                </c:pt>
              </c:numCache>
            </c:numRef>
          </c:cat>
          <c:val>
            <c:numRef>
              <c:f>Sheet2!$U$3:$U$74</c:f>
              <c:numCache>
                <c:formatCode>General</c:formatCode>
                <c:ptCount val="72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5-45E4-B103-9BE09E97E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7278480"/>
        <c:axId val="1727277040"/>
      </c:lineChart>
      <c:catAx>
        <c:axId val="172727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77040"/>
        <c:crosses val="autoZero"/>
        <c:auto val="1"/>
        <c:lblAlgn val="ctr"/>
        <c:lblOffset val="100"/>
        <c:noMultiLvlLbl val="0"/>
      </c:catAx>
      <c:valAx>
        <c:axId val="172727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7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349250</xdr:colOff>
      <xdr:row>24</xdr:row>
      <xdr:rowOff>25400</xdr:rowOff>
    </xdr:from>
    <xdr:to>
      <xdr:col>12</xdr:col>
      <xdr:colOff>793750</xdr:colOff>
      <xdr:row>37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8D05EC-5D17-22D5-0A0A-E01B0E4DC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556828</xdr:colOff>
      <xdr:row>1</xdr:row>
      <xdr:rowOff>176690</xdr:rowOff>
    </xdr:from>
    <xdr:to>
      <xdr:col>14</xdr:col>
      <xdr:colOff>187541</xdr:colOff>
      <xdr:row>15</xdr:row>
      <xdr:rowOff>75091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9CF31D-3C01-1EBB-ABB1-E38697B343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38</xdr:row>
      <xdr:rowOff>114300</xdr:rowOff>
    </xdr:from>
    <xdr:to>
      <xdr:col>12</xdr:col>
      <xdr:colOff>787400</xdr:colOff>
      <xdr:row>52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8AA3DB-2A84-420D-6620-A8A68AB92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288988</xdr:colOff>
      <xdr:row>16</xdr:row>
      <xdr:rowOff>194351</xdr:rowOff>
    </xdr:from>
    <xdr:to>
      <xdr:col>28</xdr:col>
      <xdr:colOff>216213</xdr:colOff>
      <xdr:row>30</xdr:row>
      <xdr:rowOff>140696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47B98B-C3AE-AE1D-FD85-EF99CE489E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4CA7D-2ED5-AD49-ADDA-9E27E2BC96D4}">
  <dimension ref="A1:I11"/>
  <sheetViews>
    <sheetView zoomScale="96" zoomScaleNormal="80" workbookViewId="0">
      <selection activeCell="F15" sqref="F15"/>
    </sheetView>
  </sheetViews>
  <sheetFormatPr defaultColWidth="10.6640625" defaultRowHeight="16" x14ac:dyDescent="0.4"/>
  <sheetData>
    <row r="1" spans="1:9" x14ac:dyDescent="0.4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3</v>
      </c>
      <c r="G1" t="s">
        <v>0</v>
      </c>
      <c r="H1" t="s">
        <v>1</v>
      </c>
      <c r="I1" t="s">
        <v>4</v>
      </c>
    </row>
    <row r="2" spans="1:9" x14ac:dyDescent="0.4">
      <c r="A2">
        <v>0</v>
      </c>
      <c r="B2">
        <v>0</v>
      </c>
      <c r="D2">
        <v>0</v>
      </c>
      <c r="E2">
        <v>0</v>
      </c>
      <c r="G2">
        <v>0</v>
      </c>
      <c r="H2">
        <v>1</v>
      </c>
    </row>
    <row r="3" spans="1:9" x14ac:dyDescent="0.4">
      <c r="A3">
        <v>19</v>
      </c>
      <c r="B3">
        <v>0</v>
      </c>
      <c r="D3">
        <v>89</v>
      </c>
      <c r="E3">
        <v>0</v>
      </c>
      <c r="G3">
        <v>49</v>
      </c>
      <c r="H3">
        <v>1</v>
      </c>
    </row>
    <row r="4" spans="1:9" x14ac:dyDescent="0.4">
      <c r="A4">
        <v>20</v>
      </c>
      <c r="B4">
        <v>1</v>
      </c>
      <c r="D4">
        <v>90</v>
      </c>
      <c r="E4">
        <v>1</v>
      </c>
      <c r="G4">
        <v>50</v>
      </c>
      <c r="H4">
        <v>0</v>
      </c>
    </row>
    <row r="5" spans="1:9" x14ac:dyDescent="0.4">
      <c r="A5">
        <v>109</v>
      </c>
      <c r="B5">
        <v>1</v>
      </c>
      <c r="D5">
        <v>179</v>
      </c>
      <c r="E5">
        <v>1</v>
      </c>
      <c r="G5">
        <v>139</v>
      </c>
      <c r="H5">
        <v>0</v>
      </c>
    </row>
    <row r="6" spans="1:9" x14ac:dyDescent="0.4">
      <c r="A6">
        <v>110</v>
      </c>
      <c r="B6">
        <v>0</v>
      </c>
      <c r="D6">
        <v>180</v>
      </c>
      <c r="E6">
        <v>0</v>
      </c>
      <c r="G6">
        <v>140</v>
      </c>
      <c r="H6">
        <v>1</v>
      </c>
    </row>
    <row r="7" spans="1:9" x14ac:dyDescent="0.4">
      <c r="A7">
        <v>199</v>
      </c>
      <c r="B7">
        <v>0</v>
      </c>
      <c r="D7">
        <v>269</v>
      </c>
      <c r="E7">
        <v>0</v>
      </c>
      <c r="G7">
        <v>229</v>
      </c>
      <c r="H7">
        <v>1</v>
      </c>
    </row>
    <row r="8" spans="1:9" x14ac:dyDescent="0.4">
      <c r="A8">
        <v>200</v>
      </c>
      <c r="B8">
        <v>1</v>
      </c>
      <c r="D8">
        <v>270</v>
      </c>
      <c r="E8">
        <v>1</v>
      </c>
      <c r="G8">
        <v>230</v>
      </c>
      <c r="H8">
        <v>0</v>
      </c>
    </row>
    <row r="9" spans="1:9" x14ac:dyDescent="0.4">
      <c r="A9">
        <v>289</v>
      </c>
      <c r="B9">
        <v>1</v>
      </c>
      <c r="D9">
        <v>360</v>
      </c>
      <c r="E9">
        <v>1</v>
      </c>
      <c r="G9">
        <v>319</v>
      </c>
      <c r="H9">
        <v>0</v>
      </c>
    </row>
    <row r="10" spans="1:9" x14ac:dyDescent="0.4">
      <c r="A10">
        <v>290</v>
      </c>
      <c r="B10">
        <v>0</v>
      </c>
      <c r="G10">
        <v>320</v>
      </c>
      <c r="H10">
        <v>1</v>
      </c>
    </row>
    <row r="11" spans="1:9" x14ac:dyDescent="0.4">
      <c r="A11">
        <v>360</v>
      </c>
      <c r="B1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9301-ACAE-4957-8D19-60D6F80B79F5}">
  <dimension ref="B2:U74"/>
  <sheetViews>
    <sheetView tabSelected="1" topLeftCell="A25" zoomScale="77" zoomScaleNormal="55" workbookViewId="0">
      <selection activeCell="C26" sqref="C26:F45"/>
    </sheetView>
  </sheetViews>
  <sheetFormatPr defaultRowHeight="16" x14ac:dyDescent="0.4"/>
  <sheetData>
    <row r="2" spans="2:21" x14ac:dyDescent="0.4">
      <c r="B2" t="s">
        <v>0</v>
      </c>
      <c r="C2" t="s">
        <v>1</v>
      </c>
      <c r="D2" t="s">
        <v>2</v>
      </c>
      <c r="E2" t="s">
        <v>0</v>
      </c>
      <c r="F2" t="s">
        <v>1</v>
      </c>
      <c r="G2" t="s">
        <v>3</v>
      </c>
      <c r="H2" t="s">
        <v>0</v>
      </c>
      <c r="I2" t="s">
        <v>1</v>
      </c>
      <c r="J2" t="s">
        <v>4</v>
      </c>
      <c r="L2" t="s">
        <v>0</v>
      </c>
      <c r="M2" t="s">
        <v>6</v>
      </c>
      <c r="N2" t="s">
        <v>5</v>
      </c>
      <c r="O2" t="s">
        <v>7</v>
      </c>
      <c r="R2" t="s">
        <v>0</v>
      </c>
      <c r="S2" t="s">
        <v>6</v>
      </c>
      <c r="T2" t="s">
        <v>5</v>
      </c>
      <c r="U2" t="s">
        <v>7</v>
      </c>
    </row>
    <row r="3" spans="2:21" x14ac:dyDescent="0.4">
      <c r="B3">
        <v>0</v>
      </c>
      <c r="C3">
        <v>0</v>
      </c>
      <c r="E3">
        <v>0</v>
      </c>
      <c r="F3">
        <v>0</v>
      </c>
      <c r="H3">
        <v>0</v>
      </c>
      <c r="I3">
        <v>1</v>
      </c>
      <c r="L3">
        <v>0</v>
      </c>
      <c r="M3">
        <v>0</v>
      </c>
      <c r="N3">
        <v>0</v>
      </c>
      <c r="O3">
        <v>1</v>
      </c>
      <c r="R3">
        <v>0</v>
      </c>
      <c r="S3">
        <v>0</v>
      </c>
      <c r="T3">
        <f>N3+3</f>
        <v>3</v>
      </c>
      <c r="U3">
        <f>O3+6</f>
        <v>7</v>
      </c>
    </row>
    <row r="4" spans="2:21" x14ac:dyDescent="0.4">
      <c r="B4">
        <v>19</v>
      </c>
      <c r="C4">
        <v>0</v>
      </c>
      <c r="E4">
        <v>89</v>
      </c>
      <c r="F4">
        <v>0</v>
      </c>
      <c r="H4">
        <v>49</v>
      </c>
      <c r="I4">
        <v>1</v>
      </c>
      <c r="L4">
        <f>L3+10</f>
        <v>10</v>
      </c>
      <c r="M4">
        <v>0</v>
      </c>
      <c r="N4">
        <v>0</v>
      </c>
      <c r="O4">
        <v>1</v>
      </c>
      <c r="R4">
        <f>R3+10</f>
        <v>10</v>
      </c>
      <c r="S4">
        <v>0</v>
      </c>
      <c r="T4">
        <f t="shared" ref="T4:T38" si="0">N4+3</f>
        <v>3</v>
      </c>
      <c r="U4">
        <f t="shared" ref="U4:U38" si="1">O4+6</f>
        <v>7</v>
      </c>
    </row>
    <row r="5" spans="2:21" x14ac:dyDescent="0.4">
      <c r="B5">
        <v>20</v>
      </c>
      <c r="C5">
        <v>1</v>
      </c>
      <c r="E5">
        <v>90</v>
      </c>
      <c r="F5">
        <v>1</v>
      </c>
      <c r="H5">
        <v>50</v>
      </c>
      <c r="I5">
        <v>0</v>
      </c>
      <c r="L5">
        <f t="shared" ref="L5:L38" si="2">L4+10</f>
        <v>20</v>
      </c>
      <c r="M5">
        <v>0</v>
      </c>
      <c r="N5">
        <v>1</v>
      </c>
      <c r="O5">
        <v>1</v>
      </c>
      <c r="R5">
        <f t="shared" ref="R5:R14" si="3">R4+10</f>
        <v>20</v>
      </c>
      <c r="S5">
        <v>0</v>
      </c>
      <c r="T5">
        <f t="shared" si="0"/>
        <v>4</v>
      </c>
      <c r="U5">
        <f t="shared" si="1"/>
        <v>7</v>
      </c>
    </row>
    <row r="6" spans="2:21" x14ac:dyDescent="0.4">
      <c r="B6">
        <v>109</v>
      </c>
      <c r="C6">
        <v>1</v>
      </c>
      <c r="E6">
        <v>179</v>
      </c>
      <c r="F6">
        <v>1</v>
      </c>
      <c r="H6">
        <v>139</v>
      </c>
      <c r="I6">
        <v>0</v>
      </c>
      <c r="L6">
        <f t="shared" si="2"/>
        <v>30</v>
      </c>
      <c r="M6">
        <v>0</v>
      </c>
      <c r="N6">
        <v>1</v>
      </c>
      <c r="O6">
        <v>1</v>
      </c>
      <c r="R6">
        <f t="shared" si="3"/>
        <v>30</v>
      </c>
      <c r="S6">
        <v>0</v>
      </c>
      <c r="T6">
        <f t="shared" si="0"/>
        <v>4</v>
      </c>
      <c r="U6">
        <f t="shared" si="1"/>
        <v>7</v>
      </c>
    </row>
    <row r="7" spans="2:21" x14ac:dyDescent="0.4">
      <c r="B7">
        <v>110</v>
      </c>
      <c r="C7">
        <v>0</v>
      </c>
      <c r="E7">
        <v>180</v>
      </c>
      <c r="F7">
        <v>0</v>
      </c>
      <c r="H7">
        <v>140</v>
      </c>
      <c r="I7">
        <v>1</v>
      </c>
      <c r="L7">
        <f t="shared" si="2"/>
        <v>40</v>
      </c>
      <c r="M7">
        <v>0</v>
      </c>
      <c r="N7">
        <v>1</v>
      </c>
      <c r="O7">
        <v>1</v>
      </c>
      <c r="R7">
        <f t="shared" si="3"/>
        <v>40</v>
      </c>
      <c r="S7">
        <v>0</v>
      </c>
      <c r="T7">
        <f t="shared" si="0"/>
        <v>4</v>
      </c>
      <c r="U7">
        <f t="shared" si="1"/>
        <v>7</v>
      </c>
    </row>
    <row r="8" spans="2:21" x14ac:dyDescent="0.4">
      <c r="B8">
        <v>199</v>
      </c>
      <c r="C8">
        <v>0</v>
      </c>
      <c r="E8">
        <v>269</v>
      </c>
      <c r="F8">
        <v>0</v>
      </c>
      <c r="H8">
        <v>229</v>
      </c>
      <c r="I8">
        <v>1</v>
      </c>
      <c r="L8">
        <f t="shared" si="2"/>
        <v>50</v>
      </c>
      <c r="M8">
        <v>0</v>
      </c>
      <c r="N8">
        <v>1</v>
      </c>
      <c r="O8">
        <v>1</v>
      </c>
      <c r="R8">
        <f t="shared" si="3"/>
        <v>50</v>
      </c>
      <c r="S8">
        <v>0</v>
      </c>
      <c r="T8">
        <f t="shared" si="0"/>
        <v>4</v>
      </c>
      <c r="U8">
        <f t="shared" si="1"/>
        <v>7</v>
      </c>
    </row>
    <row r="9" spans="2:21" x14ac:dyDescent="0.4">
      <c r="B9">
        <v>200</v>
      </c>
      <c r="C9">
        <v>1</v>
      </c>
      <c r="E9">
        <v>270</v>
      </c>
      <c r="F9">
        <v>1</v>
      </c>
      <c r="H9">
        <v>230</v>
      </c>
      <c r="I9">
        <v>0</v>
      </c>
      <c r="L9">
        <f t="shared" si="2"/>
        <v>60</v>
      </c>
      <c r="M9">
        <v>0</v>
      </c>
      <c r="N9">
        <v>1</v>
      </c>
      <c r="O9">
        <v>0</v>
      </c>
      <c r="R9">
        <f t="shared" si="3"/>
        <v>60</v>
      </c>
      <c r="S9">
        <v>0</v>
      </c>
      <c r="T9">
        <f t="shared" si="0"/>
        <v>4</v>
      </c>
      <c r="U9">
        <f t="shared" si="1"/>
        <v>6</v>
      </c>
    </row>
    <row r="10" spans="2:21" x14ac:dyDescent="0.4">
      <c r="B10">
        <v>289</v>
      </c>
      <c r="C10">
        <v>1</v>
      </c>
      <c r="E10">
        <v>360</v>
      </c>
      <c r="F10">
        <v>1</v>
      </c>
      <c r="H10">
        <v>319</v>
      </c>
      <c r="I10">
        <v>0</v>
      </c>
      <c r="L10">
        <f t="shared" si="2"/>
        <v>70</v>
      </c>
      <c r="M10">
        <v>0</v>
      </c>
      <c r="N10">
        <v>1</v>
      </c>
      <c r="O10">
        <v>0</v>
      </c>
      <c r="R10">
        <f t="shared" si="3"/>
        <v>70</v>
      </c>
      <c r="S10">
        <v>0</v>
      </c>
      <c r="T10">
        <f t="shared" si="0"/>
        <v>4</v>
      </c>
      <c r="U10">
        <f t="shared" si="1"/>
        <v>6</v>
      </c>
    </row>
    <row r="11" spans="2:21" x14ac:dyDescent="0.4">
      <c r="B11">
        <v>290</v>
      </c>
      <c r="C11">
        <v>0</v>
      </c>
      <c r="H11">
        <v>320</v>
      </c>
      <c r="I11">
        <v>1</v>
      </c>
      <c r="L11">
        <f t="shared" si="2"/>
        <v>80</v>
      </c>
      <c r="M11">
        <v>0</v>
      </c>
      <c r="N11">
        <v>1</v>
      </c>
      <c r="O11">
        <v>0</v>
      </c>
      <c r="R11">
        <f t="shared" si="3"/>
        <v>80</v>
      </c>
      <c r="S11">
        <v>0</v>
      </c>
      <c r="T11">
        <f t="shared" si="0"/>
        <v>4</v>
      </c>
      <c r="U11">
        <f t="shared" si="1"/>
        <v>6</v>
      </c>
    </row>
    <row r="12" spans="2:21" x14ac:dyDescent="0.4">
      <c r="B12">
        <v>360</v>
      </c>
      <c r="C12">
        <v>0</v>
      </c>
      <c r="L12">
        <f t="shared" si="2"/>
        <v>90</v>
      </c>
      <c r="M12">
        <v>1</v>
      </c>
      <c r="N12">
        <v>1</v>
      </c>
      <c r="O12">
        <v>0</v>
      </c>
      <c r="R12">
        <f t="shared" si="3"/>
        <v>90</v>
      </c>
      <c r="S12">
        <v>1</v>
      </c>
      <c r="T12">
        <f t="shared" si="0"/>
        <v>4</v>
      </c>
      <c r="U12">
        <f t="shared" si="1"/>
        <v>6</v>
      </c>
    </row>
    <row r="13" spans="2:21" x14ac:dyDescent="0.4">
      <c r="L13">
        <f t="shared" si="2"/>
        <v>100</v>
      </c>
      <c r="M13">
        <v>1</v>
      </c>
      <c r="N13">
        <v>1</v>
      </c>
      <c r="O13">
        <v>0</v>
      </c>
      <c r="R13">
        <f t="shared" si="3"/>
        <v>100</v>
      </c>
      <c r="S13">
        <v>1</v>
      </c>
      <c r="T13">
        <f t="shared" si="0"/>
        <v>4</v>
      </c>
      <c r="U13">
        <f t="shared" si="1"/>
        <v>6</v>
      </c>
    </row>
    <row r="14" spans="2:21" x14ac:dyDescent="0.4">
      <c r="L14">
        <f t="shared" si="2"/>
        <v>110</v>
      </c>
      <c r="M14">
        <v>1</v>
      </c>
      <c r="N14">
        <v>1</v>
      </c>
      <c r="O14">
        <v>0</v>
      </c>
      <c r="R14">
        <f t="shared" si="3"/>
        <v>110</v>
      </c>
      <c r="S14">
        <v>1</v>
      </c>
      <c r="T14">
        <f t="shared" si="0"/>
        <v>4</v>
      </c>
      <c r="U14">
        <f t="shared" si="1"/>
        <v>6</v>
      </c>
    </row>
    <row r="15" spans="2:21" x14ac:dyDescent="0.4">
      <c r="B15" t="s">
        <v>10</v>
      </c>
      <c r="L15">
        <f>L14+10</f>
        <v>120</v>
      </c>
      <c r="M15">
        <v>1</v>
      </c>
      <c r="N15">
        <v>1</v>
      </c>
      <c r="O15">
        <v>0</v>
      </c>
      <c r="R15">
        <f>R14+10</f>
        <v>120</v>
      </c>
      <c r="S15">
        <v>1</v>
      </c>
      <c r="T15">
        <f t="shared" si="0"/>
        <v>4</v>
      </c>
      <c r="U15">
        <f t="shared" si="1"/>
        <v>6</v>
      </c>
    </row>
    <row r="16" spans="2:21" x14ac:dyDescent="0.4">
      <c r="C16" t="s">
        <v>11</v>
      </c>
      <c r="L16">
        <f t="shared" si="2"/>
        <v>130</v>
      </c>
      <c r="M16">
        <v>1</v>
      </c>
      <c r="N16">
        <v>0</v>
      </c>
      <c r="O16">
        <v>0</v>
      </c>
      <c r="R16">
        <f t="shared" ref="R16:R22" si="4">R15+10</f>
        <v>130</v>
      </c>
      <c r="S16">
        <v>1</v>
      </c>
      <c r="T16">
        <f t="shared" si="0"/>
        <v>3</v>
      </c>
      <c r="U16">
        <f t="shared" si="1"/>
        <v>6</v>
      </c>
    </row>
    <row r="17" spans="2:21" x14ac:dyDescent="0.4">
      <c r="L17">
        <f t="shared" si="2"/>
        <v>140</v>
      </c>
      <c r="M17">
        <v>1</v>
      </c>
      <c r="N17">
        <v>0</v>
      </c>
      <c r="O17">
        <v>1</v>
      </c>
      <c r="R17">
        <f t="shared" si="4"/>
        <v>140</v>
      </c>
      <c r="S17">
        <v>1</v>
      </c>
      <c r="T17">
        <f t="shared" si="0"/>
        <v>3</v>
      </c>
      <c r="U17">
        <f t="shared" si="1"/>
        <v>7</v>
      </c>
    </row>
    <row r="18" spans="2:21" x14ac:dyDescent="0.4">
      <c r="L18">
        <f t="shared" si="2"/>
        <v>150</v>
      </c>
      <c r="M18">
        <v>1</v>
      </c>
      <c r="N18">
        <v>0</v>
      </c>
      <c r="O18">
        <v>1</v>
      </c>
      <c r="R18">
        <f t="shared" si="4"/>
        <v>150</v>
      </c>
      <c r="S18">
        <v>1</v>
      </c>
      <c r="T18">
        <f t="shared" si="0"/>
        <v>3</v>
      </c>
      <c r="U18">
        <f t="shared" si="1"/>
        <v>7</v>
      </c>
    </row>
    <row r="19" spans="2:21" x14ac:dyDescent="0.4">
      <c r="B19" t="s">
        <v>8</v>
      </c>
      <c r="L19">
        <f t="shared" si="2"/>
        <v>160</v>
      </c>
      <c r="M19">
        <v>1</v>
      </c>
      <c r="N19">
        <v>0</v>
      </c>
      <c r="O19">
        <v>1</v>
      </c>
      <c r="R19">
        <f t="shared" si="4"/>
        <v>160</v>
      </c>
      <c r="S19">
        <v>1</v>
      </c>
      <c r="T19">
        <f t="shared" si="0"/>
        <v>3</v>
      </c>
      <c r="U19">
        <f t="shared" si="1"/>
        <v>7</v>
      </c>
    </row>
    <row r="20" spans="2:21" x14ac:dyDescent="0.4">
      <c r="C20" t="s">
        <v>9</v>
      </c>
      <c r="L20">
        <f t="shared" si="2"/>
        <v>170</v>
      </c>
      <c r="M20">
        <v>1</v>
      </c>
      <c r="N20">
        <v>0</v>
      </c>
      <c r="O20">
        <v>1</v>
      </c>
      <c r="R20">
        <f t="shared" si="4"/>
        <v>170</v>
      </c>
      <c r="S20">
        <v>1</v>
      </c>
      <c r="T20">
        <f t="shared" si="0"/>
        <v>3</v>
      </c>
      <c r="U20">
        <f t="shared" si="1"/>
        <v>7</v>
      </c>
    </row>
    <row r="21" spans="2:21" x14ac:dyDescent="0.4">
      <c r="L21">
        <f t="shared" si="2"/>
        <v>180</v>
      </c>
      <c r="M21">
        <v>1</v>
      </c>
      <c r="N21">
        <v>0</v>
      </c>
      <c r="O21">
        <v>1</v>
      </c>
      <c r="R21">
        <f t="shared" si="4"/>
        <v>180</v>
      </c>
      <c r="S21">
        <v>1</v>
      </c>
      <c r="T21">
        <f t="shared" si="0"/>
        <v>3</v>
      </c>
      <c r="U21">
        <f t="shared" si="1"/>
        <v>7</v>
      </c>
    </row>
    <row r="22" spans="2:21" x14ac:dyDescent="0.4">
      <c r="L22">
        <f t="shared" si="2"/>
        <v>190</v>
      </c>
      <c r="M22">
        <v>0</v>
      </c>
      <c r="N22">
        <v>0</v>
      </c>
      <c r="O22">
        <v>1</v>
      </c>
      <c r="R22">
        <f t="shared" si="4"/>
        <v>190</v>
      </c>
      <c r="S22">
        <v>0</v>
      </c>
      <c r="T22">
        <f t="shared" si="0"/>
        <v>3</v>
      </c>
      <c r="U22">
        <f t="shared" si="1"/>
        <v>7</v>
      </c>
    </row>
    <row r="23" spans="2:21" x14ac:dyDescent="0.4">
      <c r="L23">
        <f>L22+10</f>
        <v>200</v>
      </c>
      <c r="M23">
        <v>0</v>
      </c>
      <c r="N23">
        <v>1</v>
      </c>
      <c r="O23">
        <v>1</v>
      </c>
      <c r="R23">
        <f>R22+10</f>
        <v>200</v>
      </c>
      <c r="S23">
        <v>0</v>
      </c>
      <c r="T23">
        <f t="shared" si="0"/>
        <v>4</v>
      </c>
      <c r="U23">
        <f t="shared" si="1"/>
        <v>7</v>
      </c>
    </row>
    <row r="24" spans="2:21" x14ac:dyDescent="0.4">
      <c r="L24">
        <f t="shared" si="2"/>
        <v>210</v>
      </c>
      <c r="M24">
        <v>0</v>
      </c>
      <c r="N24">
        <v>1</v>
      </c>
      <c r="O24">
        <v>1</v>
      </c>
      <c r="R24">
        <f t="shared" ref="R24:R30" si="5">R23+10</f>
        <v>210</v>
      </c>
      <c r="S24">
        <v>0</v>
      </c>
      <c r="T24">
        <f t="shared" si="0"/>
        <v>4</v>
      </c>
      <c r="U24">
        <f t="shared" si="1"/>
        <v>7</v>
      </c>
    </row>
    <row r="25" spans="2:21" x14ac:dyDescent="0.4">
      <c r="L25">
        <f t="shared" si="2"/>
        <v>220</v>
      </c>
      <c r="M25">
        <v>0</v>
      </c>
      <c r="N25">
        <v>1</v>
      </c>
      <c r="O25">
        <v>1</v>
      </c>
      <c r="R25">
        <f t="shared" si="5"/>
        <v>220</v>
      </c>
      <c r="S25">
        <v>0</v>
      </c>
      <c r="T25">
        <f t="shared" si="0"/>
        <v>4</v>
      </c>
      <c r="U25">
        <f t="shared" si="1"/>
        <v>7</v>
      </c>
    </row>
    <row r="26" spans="2:21" x14ac:dyDescent="0.4">
      <c r="C26" t="s">
        <v>12</v>
      </c>
      <c r="D26" t="s">
        <v>6</v>
      </c>
      <c r="E26" t="s">
        <v>5</v>
      </c>
      <c r="F26" t="s">
        <v>7</v>
      </c>
      <c r="L26">
        <f t="shared" si="2"/>
        <v>230</v>
      </c>
      <c r="M26">
        <v>0</v>
      </c>
      <c r="N26">
        <v>1</v>
      </c>
      <c r="O26">
        <v>1</v>
      </c>
      <c r="R26">
        <f t="shared" si="5"/>
        <v>230</v>
      </c>
      <c r="S26">
        <v>0</v>
      </c>
      <c r="T26">
        <f t="shared" si="0"/>
        <v>4</v>
      </c>
      <c r="U26">
        <f t="shared" si="1"/>
        <v>7</v>
      </c>
    </row>
    <row r="27" spans="2:21" x14ac:dyDescent="0.4">
      <c r="C27">
        <v>0</v>
      </c>
      <c r="D27">
        <v>0</v>
      </c>
      <c r="E27">
        <v>0</v>
      </c>
      <c r="F27">
        <v>1</v>
      </c>
      <c r="L27">
        <f t="shared" si="2"/>
        <v>240</v>
      </c>
      <c r="M27">
        <v>0</v>
      </c>
      <c r="N27">
        <v>1</v>
      </c>
      <c r="O27">
        <v>0</v>
      </c>
      <c r="R27">
        <f t="shared" si="5"/>
        <v>240</v>
      </c>
      <c r="S27">
        <v>0</v>
      </c>
      <c r="T27">
        <f t="shared" si="0"/>
        <v>4</v>
      </c>
      <c r="U27">
        <f t="shared" si="1"/>
        <v>6</v>
      </c>
    </row>
    <row r="28" spans="2:21" x14ac:dyDescent="0.4">
      <c r="C28">
        <f>C27+10</f>
        <v>10</v>
      </c>
      <c r="D28">
        <v>0</v>
      </c>
      <c r="E28">
        <v>0</v>
      </c>
      <c r="F28">
        <v>1</v>
      </c>
      <c r="L28">
        <f t="shared" si="2"/>
        <v>250</v>
      </c>
      <c r="M28">
        <v>0</v>
      </c>
      <c r="N28">
        <v>1</v>
      </c>
      <c r="O28">
        <v>0</v>
      </c>
      <c r="R28">
        <f t="shared" si="5"/>
        <v>250</v>
      </c>
      <c r="S28">
        <v>0</v>
      </c>
      <c r="T28">
        <f t="shared" si="0"/>
        <v>4</v>
      </c>
      <c r="U28">
        <f t="shared" si="1"/>
        <v>6</v>
      </c>
    </row>
    <row r="29" spans="2:21" x14ac:dyDescent="0.4">
      <c r="C29">
        <f t="shared" ref="C29:C45" si="6">C28+10</f>
        <v>20</v>
      </c>
      <c r="D29">
        <v>0</v>
      </c>
      <c r="E29">
        <v>1</v>
      </c>
      <c r="F29">
        <v>1</v>
      </c>
      <c r="L29">
        <f t="shared" si="2"/>
        <v>260</v>
      </c>
      <c r="M29">
        <v>0</v>
      </c>
      <c r="N29">
        <v>1</v>
      </c>
      <c r="O29">
        <v>0</v>
      </c>
      <c r="R29">
        <f t="shared" si="5"/>
        <v>260</v>
      </c>
      <c r="S29">
        <v>0</v>
      </c>
      <c r="T29">
        <f t="shared" si="0"/>
        <v>4</v>
      </c>
      <c r="U29">
        <f t="shared" si="1"/>
        <v>6</v>
      </c>
    </row>
    <row r="30" spans="2:21" x14ac:dyDescent="0.4">
      <c r="C30">
        <f t="shared" si="6"/>
        <v>30</v>
      </c>
      <c r="D30">
        <v>0</v>
      </c>
      <c r="E30">
        <v>1</v>
      </c>
      <c r="F30">
        <v>1</v>
      </c>
      <c r="L30">
        <f t="shared" si="2"/>
        <v>270</v>
      </c>
      <c r="M30">
        <v>1</v>
      </c>
      <c r="N30">
        <v>1</v>
      </c>
      <c r="O30">
        <v>0</v>
      </c>
      <c r="R30">
        <f t="shared" si="5"/>
        <v>270</v>
      </c>
      <c r="S30">
        <v>1</v>
      </c>
      <c r="T30">
        <f t="shared" si="0"/>
        <v>4</v>
      </c>
      <c r="U30">
        <f t="shared" si="1"/>
        <v>6</v>
      </c>
    </row>
    <row r="31" spans="2:21" x14ac:dyDescent="0.4">
      <c r="C31">
        <f t="shared" si="6"/>
        <v>40</v>
      </c>
      <c r="D31">
        <v>0</v>
      </c>
      <c r="E31">
        <v>1</v>
      </c>
      <c r="F31">
        <v>1</v>
      </c>
      <c r="L31">
        <f>L30+10</f>
        <v>280</v>
      </c>
      <c r="M31">
        <v>1</v>
      </c>
      <c r="N31">
        <v>1</v>
      </c>
      <c r="O31">
        <v>0</v>
      </c>
      <c r="R31">
        <f>R30+10</f>
        <v>280</v>
      </c>
      <c r="S31">
        <v>1</v>
      </c>
      <c r="T31">
        <f t="shared" si="0"/>
        <v>4</v>
      </c>
      <c r="U31">
        <f t="shared" si="1"/>
        <v>6</v>
      </c>
    </row>
    <row r="32" spans="2:21" x14ac:dyDescent="0.4">
      <c r="C32">
        <f t="shared" si="6"/>
        <v>50</v>
      </c>
      <c r="D32">
        <v>0</v>
      </c>
      <c r="E32">
        <v>1</v>
      </c>
      <c r="F32">
        <v>1</v>
      </c>
      <c r="L32">
        <f t="shared" si="2"/>
        <v>290</v>
      </c>
      <c r="M32">
        <v>1</v>
      </c>
      <c r="N32">
        <v>1</v>
      </c>
      <c r="O32">
        <v>0</v>
      </c>
      <c r="R32">
        <f t="shared" ref="R32:R36" si="7">R31+10</f>
        <v>290</v>
      </c>
      <c r="S32">
        <v>1</v>
      </c>
      <c r="T32">
        <f t="shared" si="0"/>
        <v>4</v>
      </c>
      <c r="U32">
        <f t="shared" si="1"/>
        <v>6</v>
      </c>
    </row>
    <row r="33" spans="3:21" x14ac:dyDescent="0.4">
      <c r="C33">
        <f t="shared" si="6"/>
        <v>60</v>
      </c>
      <c r="D33">
        <v>0</v>
      </c>
      <c r="E33">
        <v>1</v>
      </c>
      <c r="F33">
        <v>0</v>
      </c>
      <c r="L33">
        <f t="shared" si="2"/>
        <v>300</v>
      </c>
      <c r="M33">
        <v>1</v>
      </c>
      <c r="N33">
        <v>0</v>
      </c>
      <c r="O33">
        <v>0</v>
      </c>
      <c r="R33">
        <f t="shared" si="7"/>
        <v>300</v>
      </c>
      <c r="S33">
        <v>1</v>
      </c>
      <c r="T33">
        <f t="shared" si="0"/>
        <v>3</v>
      </c>
      <c r="U33">
        <f t="shared" si="1"/>
        <v>6</v>
      </c>
    </row>
    <row r="34" spans="3:21" x14ac:dyDescent="0.4">
      <c r="C34">
        <f t="shared" si="6"/>
        <v>70</v>
      </c>
      <c r="D34">
        <v>0</v>
      </c>
      <c r="E34">
        <v>1</v>
      </c>
      <c r="F34">
        <v>0</v>
      </c>
      <c r="L34">
        <f t="shared" si="2"/>
        <v>310</v>
      </c>
      <c r="M34">
        <v>1</v>
      </c>
      <c r="N34">
        <v>0</v>
      </c>
      <c r="O34">
        <v>0</v>
      </c>
      <c r="R34">
        <f t="shared" si="7"/>
        <v>310</v>
      </c>
      <c r="S34">
        <v>1</v>
      </c>
      <c r="T34">
        <f t="shared" si="0"/>
        <v>3</v>
      </c>
      <c r="U34">
        <f t="shared" si="1"/>
        <v>6</v>
      </c>
    </row>
    <row r="35" spans="3:21" x14ac:dyDescent="0.4">
      <c r="C35">
        <f t="shared" si="6"/>
        <v>80</v>
      </c>
      <c r="D35">
        <v>0</v>
      </c>
      <c r="E35">
        <v>1</v>
      </c>
      <c r="F35">
        <v>0</v>
      </c>
      <c r="L35">
        <f t="shared" si="2"/>
        <v>320</v>
      </c>
      <c r="M35">
        <v>1</v>
      </c>
      <c r="N35">
        <v>0</v>
      </c>
      <c r="O35">
        <v>1</v>
      </c>
      <c r="R35">
        <f t="shared" si="7"/>
        <v>320</v>
      </c>
      <c r="S35">
        <v>1</v>
      </c>
      <c r="T35">
        <f t="shared" si="0"/>
        <v>3</v>
      </c>
      <c r="U35">
        <f t="shared" si="1"/>
        <v>7</v>
      </c>
    </row>
    <row r="36" spans="3:21" x14ac:dyDescent="0.4">
      <c r="C36">
        <f t="shared" si="6"/>
        <v>90</v>
      </c>
      <c r="D36">
        <v>1</v>
      </c>
      <c r="E36">
        <v>1</v>
      </c>
      <c r="F36">
        <v>0</v>
      </c>
      <c r="L36">
        <f t="shared" si="2"/>
        <v>330</v>
      </c>
      <c r="M36">
        <v>1</v>
      </c>
      <c r="N36">
        <v>0</v>
      </c>
      <c r="O36">
        <v>1</v>
      </c>
      <c r="R36">
        <f t="shared" si="7"/>
        <v>330</v>
      </c>
      <c r="S36">
        <v>1</v>
      </c>
      <c r="T36">
        <f t="shared" si="0"/>
        <v>3</v>
      </c>
      <c r="U36">
        <f t="shared" si="1"/>
        <v>7</v>
      </c>
    </row>
    <row r="37" spans="3:21" x14ac:dyDescent="0.4">
      <c r="C37">
        <f t="shared" si="6"/>
        <v>100</v>
      </c>
      <c r="D37">
        <v>1</v>
      </c>
      <c r="E37">
        <v>1</v>
      </c>
      <c r="F37">
        <v>0</v>
      </c>
      <c r="L37">
        <f>L36+10</f>
        <v>340</v>
      </c>
      <c r="M37">
        <v>1</v>
      </c>
      <c r="N37">
        <v>0</v>
      </c>
      <c r="O37">
        <v>1</v>
      </c>
      <c r="R37">
        <f>R36+10</f>
        <v>340</v>
      </c>
      <c r="S37">
        <v>1</v>
      </c>
      <c r="T37">
        <f t="shared" si="0"/>
        <v>3</v>
      </c>
      <c r="U37">
        <f t="shared" si="1"/>
        <v>7</v>
      </c>
    </row>
    <row r="38" spans="3:21" x14ac:dyDescent="0.4">
      <c r="C38">
        <f t="shared" si="6"/>
        <v>110</v>
      </c>
      <c r="D38">
        <v>1</v>
      </c>
      <c r="E38">
        <v>1</v>
      </c>
      <c r="F38">
        <v>0</v>
      </c>
      <c r="L38">
        <f t="shared" si="2"/>
        <v>350</v>
      </c>
      <c r="M38">
        <v>1</v>
      </c>
      <c r="N38">
        <v>0</v>
      </c>
      <c r="O38">
        <v>1</v>
      </c>
      <c r="R38">
        <f t="shared" ref="R38" si="8">R37+10</f>
        <v>350</v>
      </c>
      <c r="S38">
        <v>1</v>
      </c>
      <c r="T38">
        <f t="shared" si="0"/>
        <v>3</v>
      </c>
      <c r="U38">
        <f t="shared" si="1"/>
        <v>7</v>
      </c>
    </row>
    <row r="39" spans="3:21" x14ac:dyDescent="0.4">
      <c r="C39">
        <f>C38+10</f>
        <v>120</v>
      </c>
      <c r="D39">
        <v>1</v>
      </c>
      <c r="E39">
        <v>1</v>
      </c>
      <c r="F39">
        <v>0</v>
      </c>
      <c r="L39">
        <f>L38+10</f>
        <v>360</v>
      </c>
      <c r="M39">
        <v>1</v>
      </c>
      <c r="N39">
        <v>0</v>
      </c>
      <c r="O39">
        <v>1</v>
      </c>
      <c r="R39">
        <v>0</v>
      </c>
      <c r="S39">
        <v>0</v>
      </c>
      <c r="T39">
        <v>3</v>
      </c>
      <c r="U39">
        <v>7</v>
      </c>
    </row>
    <row r="40" spans="3:21" x14ac:dyDescent="0.4">
      <c r="C40">
        <f t="shared" si="6"/>
        <v>130</v>
      </c>
      <c r="D40">
        <v>1</v>
      </c>
      <c r="E40">
        <v>0</v>
      </c>
      <c r="F40">
        <v>0</v>
      </c>
      <c r="R40">
        <v>10</v>
      </c>
      <c r="S40">
        <v>0</v>
      </c>
      <c r="T40">
        <v>3</v>
      </c>
      <c r="U40">
        <v>7</v>
      </c>
    </row>
    <row r="41" spans="3:21" x14ac:dyDescent="0.4">
      <c r="C41">
        <f t="shared" si="6"/>
        <v>140</v>
      </c>
      <c r="D41">
        <v>1</v>
      </c>
      <c r="E41">
        <v>0</v>
      </c>
      <c r="F41">
        <v>1</v>
      </c>
      <c r="R41">
        <v>20</v>
      </c>
      <c r="S41">
        <v>0</v>
      </c>
      <c r="T41">
        <v>4</v>
      </c>
      <c r="U41">
        <v>7</v>
      </c>
    </row>
    <row r="42" spans="3:21" x14ac:dyDescent="0.4">
      <c r="C42">
        <f t="shared" si="6"/>
        <v>150</v>
      </c>
      <c r="D42">
        <v>1</v>
      </c>
      <c r="E42">
        <v>0</v>
      </c>
      <c r="F42">
        <v>1</v>
      </c>
      <c r="R42">
        <v>30</v>
      </c>
      <c r="S42">
        <v>0</v>
      </c>
      <c r="T42">
        <v>4</v>
      </c>
      <c r="U42">
        <v>7</v>
      </c>
    </row>
    <row r="43" spans="3:21" x14ac:dyDescent="0.4">
      <c r="C43">
        <f t="shared" si="6"/>
        <v>160</v>
      </c>
      <c r="D43">
        <v>1</v>
      </c>
      <c r="E43">
        <v>0</v>
      </c>
      <c r="F43">
        <v>1</v>
      </c>
      <c r="R43">
        <v>40</v>
      </c>
      <c r="S43">
        <v>0</v>
      </c>
      <c r="T43">
        <v>4</v>
      </c>
      <c r="U43">
        <v>7</v>
      </c>
    </row>
    <row r="44" spans="3:21" x14ac:dyDescent="0.4">
      <c r="C44">
        <f t="shared" si="6"/>
        <v>170</v>
      </c>
      <c r="D44">
        <v>1</v>
      </c>
      <c r="E44">
        <v>0</v>
      </c>
      <c r="F44">
        <v>1</v>
      </c>
      <c r="R44">
        <v>50</v>
      </c>
      <c r="S44">
        <v>0</v>
      </c>
      <c r="T44">
        <v>4</v>
      </c>
      <c r="U44">
        <v>7</v>
      </c>
    </row>
    <row r="45" spans="3:21" x14ac:dyDescent="0.4">
      <c r="C45">
        <f t="shared" si="6"/>
        <v>180</v>
      </c>
      <c r="D45">
        <v>1</v>
      </c>
      <c r="E45">
        <v>0</v>
      </c>
      <c r="F45">
        <v>1</v>
      </c>
      <c r="R45">
        <v>60</v>
      </c>
      <c r="S45">
        <v>0</v>
      </c>
      <c r="T45">
        <v>4</v>
      </c>
      <c r="U45">
        <v>6</v>
      </c>
    </row>
    <row r="46" spans="3:21" x14ac:dyDescent="0.4">
      <c r="R46">
        <v>70</v>
      </c>
      <c r="S46">
        <v>0</v>
      </c>
      <c r="T46">
        <v>4</v>
      </c>
      <c r="U46">
        <v>6</v>
      </c>
    </row>
    <row r="47" spans="3:21" x14ac:dyDescent="0.4">
      <c r="R47">
        <v>80</v>
      </c>
      <c r="S47">
        <v>0</v>
      </c>
      <c r="T47">
        <v>4</v>
      </c>
      <c r="U47">
        <v>6</v>
      </c>
    </row>
    <row r="48" spans="3:21" x14ac:dyDescent="0.4">
      <c r="R48">
        <v>90</v>
      </c>
      <c r="S48">
        <v>1</v>
      </c>
      <c r="T48">
        <v>4</v>
      </c>
      <c r="U48">
        <v>6</v>
      </c>
    </row>
    <row r="49" spans="18:21" x14ac:dyDescent="0.4">
      <c r="R49">
        <v>100</v>
      </c>
      <c r="S49">
        <v>1</v>
      </c>
      <c r="T49">
        <v>4</v>
      </c>
      <c r="U49">
        <v>6</v>
      </c>
    </row>
    <row r="50" spans="18:21" x14ac:dyDescent="0.4">
      <c r="R50">
        <v>110</v>
      </c>
      <c r="S50">
        <v>1</v>
      </c>
      <c r="T50">
        <v>4</v>
      </c>
      <c r="U50">
        <v>6</v>
      </c>
    </row>
    <row r="51" spans="18:21" x14ac:dyDescent="0.4">
      <c r="R51">
        <v>120</v>
      </c>
      <c r="S51">
        <v>1</v>
      </c>
      <c r="T51">
        <v>4</v>
      </c>
      <c r="U51">
        <v>6</v>
      </c>
    </row>
    <row r="52" spans="18:21" x14ac:dyDescent="0.4">
      <c r="R52">
        <v>130</v>
      </c>
      <c r="S52">
        <v>1</v>
      </c>
      <c r="T52">
        <v>3</v>
      </c>
      <c r="U52">
        <v>6</v>
      </c>
    </row>
    <row r="53" spans="18:21" x14ac:dyDescent="0.4">
      <c r="R53">
        <v>140</v>
      </c>
      <c r="S53">
        <v>1</v>
      </c>
      <c r="T53">
        <v>3</v>
      </c>
      <c r="U53">
        <v>7</v>
      </c>
    </row>
    <row r="54" spans="18:21" x14ac:dyDescent="0.4">
      <c r="R54">
        <v>150</v>
      </c>
      <c r="S54">
        <v>1</v>
      </c>
      <c r="T54">
        <v>3</v>
      </c>
      <c r="U54">
        <v>7</v>
      </c>
    </row>
    <row r="55" spans="18:21" x14ac:dyDescent="0.4">
      <c r="R55">
        <v>160</v>
      </c>
      <c r="S55">
        <v>1</v>
      </c>
      <c r="T55">
        <v>3</v>
      </c>
      <c r="U55">
        <v>7</v>
      </c>
    </row>
    <row r="56" spans="18:21" x14ac:dyDescent="0.4">
      <c r="R56">
        <v>170</v>
      </c>
      <c r="S56">
        <v>1</v>
      </c>
      <c r="T56">
        <v>3</v>
      </c>
      <c r="U56">
        <v>7</v>
      </c>
    </row>
    <row r="57" spans="18:21" x14ac:dyDescent="0.4">
      <c r="R57">
        <v>180</v>
      </c>
      <c r="S57">
        <v>1</v>
      </c>
      <c r="T57">
        <v>3</v>
      </c>
      <c r="U57">
        <v>7</v>
      </c>
    </row>
    <row r="58" spans="18:21" x14ac:dyDescent="0.4">
      <c r="R58">
        <v>190</v>
      </c>
      <c r="S58">
        <v>0</v>
      </c>
      <c r="T58">
        <v>3</v>
      </c>
      <c r="U58">
        <v>7</v>
      </c>
    </row>
    <row r="59" spans="18:21" x14ac:dyDescent="0.4">
      <c r="R59">
        <v>200</v>
      </c>
      <c r="S59">
        <v>0</v>
      </c>
      <c r="T59">
        <v>4</v>
      </c>
      <c r="U59">
        <v>7</v>
      </c>
    </row>
    <row r="60" spans="18:21" x14ac:dyDescent="0.4">
      <c r="R60">
        <v>210</v>
      </c>
      <c r="S60">
        <v>0</v>
      </c>
      <c r="T60">
        <v>4</v>
      </c>
      <c r="U60">
        <v>7</v>
      </c>
    </row>
    <row r="61" spans="18:21" x14ac:dyDescent="0.4">
      <c r="R61">
        <v>220</v>
      </c>
      <c r="S61">
        <v>0</v>
      </c>
      <c r="T61">
        <v>4</v>
      </c>
      <c r="U61">
        <v>7</v>
      </c>
    </row>
    <row r="62" spans="18:21" x14ac:dyDescent="0.4">
      <c r="R62">
        <v>230</v>
      </c>
      <c r="S62">
        <v>0</v>
      </c>
      <c r="T62">
        <v>4</v>
      </c>
      <c r="U62">
        <v>7</v>
      </c>
    </row>
    <row r="63" spans="18:21" x14ac:dyDescent="0.4">
      <c r="R63">
        <v>240</v>
      </c>
      <c r="S63">
        <v>0</v>
      </c>
      <c r="T63">
        <v>4</v>
      </c>
      <c r="U63">
        <v>6</v>
      </c>
    </row>
    <row r="64" spans="18:21" x14ac:dyDescent="0.4">
      <c r="R64">
        <v>250</v>
      </c>
      <c r="S64">
        <v>0</v>
      </c>
      <c r="T64">
        <v>4</v>
      </c>
      <c r="U64">
        <v>6</v>
      </c>
    </row>
    <row r="65" spans="18:21" x14ac:dyDescent="0.4">
      <c r="R65">
        <v>260</v>
      </c>
      <c r="S65">
        <v>0</v>
      </c>
      <c r="T65">
        <v>4</v>
      </c>
      <c r="U65">
        <v>6</v>
      </c>
    </row>
    <row r="66" spans="18:21" x14ac:dyDescent="0.4">
      <c r="R66">
        <v>270</v>
      </c>
      <c r="S66">
        <v>1</v>
      </c>
      <c r="T66">
        <v>4</v>
      </c>
      <c r="U66">
        <v>6</v>
      </c>
    </row>
    <row r="67" spans="18:21" x14ac:dyDescent="0.4">
      <c r="R67">
        <v>280</v>
      </c>
      <c r="S67">
        <v>1</v>
      </c>
      <c r="T67">
        <v>4</v>
      </c>
      <c r="U67">
        <v>6</v>
      </c>
    </row>
    <row r="68" spans="18:21" x14ac:dyDescent="0.4">
      <c r="R68">
        <v>290</v>
      </c>
      <c r="S68">
        <v>1</v>
      </c>
      <c r="T68">
        <v>4</v>
      </c>
      <c r="U68">
        <v>6</v>
      </c>
    </row>
    <row r="69" spans="18:21" x14ac:dyDescent="0.4">
      <c r="R69">
        <v>300</v>
      </c>
      <c r="S69">
        <v>1</v>
      </c>
      <c r="T69">
        <v>3</v>
      </c>
      <c r="U69">
        <v>6</v>
      </c>
    </row>
    <row r="70" spans="18:21" x14ac:dyDescent="0.4">
      <c r="R70">
        <v>310</v>
      </c>
      <c r="S70">
        <v>1</v>
      </c>
      <c r="T70">
        <v>3</v>
      </c>
      <c r="U70">
        <v>6</v>
      </c>
    </row>
    <row r="71" spans="18:21" x14ac:dyDescent="0.4">
      <c r="R71">
        <v>320</v>
      </c>
      <c r="S71">
        <v>1</v>
      </c>
      <c r="T71">
        <v>3</v>
      </c>
      <c r="U71">
        <v>7</v>
      </c>
    </row>
    <row r="72" spans="18:21" x14ac:dyDescent="0.4">
      <c r="R72">
        <v>330</v>
      </c>
      <c r="S72">
        <v>1</v>
      </c>
      <c r="T72">
        <v>3</v>
      </c>
      <c r="U72">
        <v>7</v>
      </c>
    </row>
    <row r="73" spans="18:21" x14ac:dyDescent="0.4">
      <c r="R73">
        <v>340</v>
      </c>
      <c r="S73">
        <v>1</v>
      </c>
      <c r="T73">
        <v>3</v>
      </c>
      <c r="U73">
        <v>7</v>
      </c>
    </row>
    <row r="74" spans="18:21" x14ac:dyDescent="0.4">
      <c r="R74">
        <v>350</v>
      </c>
      <c r="S74">
        <v>1</v>
      </c>
      <c r="T74">
        <v>3</v>
      </c>
      <c r="U74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Ugalde, Dario Rios</dc:creator>
  <cp:lastModifiedBy>Martinez, Joshua</cp:lastModifiedBy>
  <dcterms:created xsi:type="dcterms:W3CDTF">2024-10-17T04:25:27Z</dcterms:created>
  <dcterms:modified xsi:type="dcterms:W3CDTF">2024-10-20T04:16:21Z</dcterms:modified>
</cp:coreProperties>
</file>