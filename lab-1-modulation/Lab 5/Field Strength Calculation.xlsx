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bsidian/workspace_v11/Wireless - Lab 1/Lab 5/"/>
    </mc:Choice>
  </mc:AlternateContent>
  <xr:revisionPtr revIDLastSave="0" documentId="8_{40E3C102-A44B-D04C-A097-26D385D42F99}" xr6:coauthVersionLast="47" xr6:coauthVersionMax="47" xr10:uidLastSave="{00000000-0000-0000-0000-000000000000}"/>
  <bookViews>
    <workbookView xWindow="5820" yWindow="860" windowWidth="28380" windowHeight="19880" tabRatio="500" xr2:uid="{00000000-000D-0000-FFFF-FFFF00000000}"/>
  </bookViews>
  <sheets>
    <sheet name="Horn" sheetId="1" r:id="rId1"/>
    <sheet name="Yagi" sheetId="2" r:id="rId2"/>
    <sheet name="Folded Dipol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F5" i="2" l="1"/>
  <c r="F2" i="2"/>
  <c r="F9" i="2" s="1"/>
  <c r="F1" i="2"/>
  <c r="F3" i="2" s="1"/>
  <c r="F5" i="1"/>
  <c r="F2" i="1"/>
  <c r="F9" i="1" s="1"/>
  <c r="F1" i="1"/>
  <c r="F10" i="2" l="1"/>
  <c r="F3" i="1"/>
  <c r="F10" i="1" s="1"/>
</calcChain>
</file>

<file path=xl/sharedStrings.xml><?xml version="1.0" encoding="utf-8"?>
<sst xmlns="http://schemas.openxmlformats.org/spreadsheetml/2006/main" count="55" uniqueCount="26">
  <si>
    <t>Power (dBm)</t>
  </si>
  <si>
    <t>Power (W)</t>
  </si>
  <si>
    <t>Distance (m)</t>
  </si>
  <si>
    <t>Area (m^2)</t>
  </si>
  <si>
    <t>Gain (dBi)</t>
  </si>
  <si>
    <t>PD (W/(m^2))</t>
  </si>
  <si>
    <t>R (ohms)</t>
  </si>
  <si>
    <t>Antenna Gain</t>
  </si>
  <si>
    <t>Max Power Density and E-Field Strength</t>
  </si>
  <si>
    <t>PD (dBm/(m^2))</t>
  </si>
  <si>
    <t>FS (uV/m)</t>
  </si>
  <si>
    <t xml:space="preserve">Measured wavelength: </t>
  </si>
  <si>
    <t>0.413507m</t>
  </si>
  <si>
    <t>Loss w/ frequency doubler + coax</t>
  </si>
  <si>
    <t>-41.25</t>
  </si>
  <si>
    <t>Measured wavelength: </t>
  </si>
  <si>
    <t>-32.5 dbm</t>
  </si>
  <si>
    <t>Using 10 dBm</t>
  </si>
  <si>
    <t>Coax</t>
  </si>
  <si>
    <t>Using -23 dBm</t>
  </si>
  <si>
    <t>-23.65 dbm</t>
  </si>
  <si>
    <t>Material</t>
  </si>
  <si>
    <t>Baseline</t>
  </si>
  <si>
    <t>Glass</t>
  </si>
  <si>
    <t>Wood</t>
  </si>
  <si>
    <t>Stool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</si>
</sst>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3" x14ac:knownFonts="1">
    <font>
      <sz val="10"/>
      <name val="Arial"/>
      <family val="2"/>
      <charset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0" fontId="1" fillId="0" borderId="0" xfId="0" applyFont="1"/>
    <xf numFmtId="0" fontId="0" fillId="0" borderId="0" xfId="0" quotePrefix="1"/>
    <xf numFmtId="0" fontId="2" fillId="0" borderId="0" xfId="0" applyFont="1"/>
    <xf numFmtId="1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zoomScale="150" zoomScaleNormal="150" workbookViewId="0">
      <selection activeCell="F21" sqref="F21"/>
    </sheetView>
  </sheetViews>
  <sheetFormatPr baseColWidth="10" defaultColWidth="11.5" defaultRowHeight="13" x14ac:dyDescent="0.15"/>
  <cols>
    <col min="5" max="5" width="14.5" customWidth="1"/>
    <col min="6" max="6" width="13.6640625" customWidth="1"/>
    <col min="8" max="8" width="27.6640625" bestFit="1" customWidth="1"/>
  </cols>
  <sheetData>
    <row r="1" spans="1:10" x14ac:dyDescent="0.15">
      <c r="A1" t="s">
        <v>0</v>
      </c>
      <c r="B1" s="5" t="s">
        <v>14</v>
      </c>
      <c r="E1" t="s">
        <v>1</v>
      </c>
      <c r="F1">
        <f>10^((B1-30)/10)</f>
        <v>7.4989420933245362E-8</v>
      </c>
    </row>
    <row r="2" spans="1:10" x14ac:dyDescent="0.15">
      <c r="A2" t="s">
        <v>2</v>
      </c>
      <c r="B2">
        <v>3</v>
      </c>
      <c r="E2" t="s">
        <v>3</v>
      </c>
      <c r="F2" s="1">
        <f>4*3.1416*B2*B2</f>
        <v>113.0976</v>
      </c>
    </row>
    <row r="3" spans="1:10" x14ac:dyDescent="0.15">
      <c r="A3" t="s">
        <v>4</v>
      </c>
      <c r="B3">
        <v>20</v>
      </c>
      <c r="E3" t="s">
        <v>5</v>
      </c>
      <c r="F3" s="2">
        <f>F1/F2</f>
        <v>6.6305050622865001E-10</v>
      </c>
      <c r="H3" s="4" t="s">
        <v>11</v>
      </c>
      <c r="I3" s="4" t="s">
        <v>12</v>
      </c>
    </row>
    <row r="4" spans="1:10" x14ac:dyDescent="0.15">
      <c r="E4" t="s">
        <v>6</v>
      </c>
      <c r="F4">
        <v>377</v>
      </c>
    </row>
    <row r="5" spans="1:10" x14ac:dyDescent="0.15">
      <c r="E5" t="s">
        <v>7</v>
      </c>
      <c r="F5" s="1">
        <f>10^(B3/10)</f>
        <v>100</v>
      </c>
    </row>
    <row r="7" spans="1:10" x14ac:dyDescent="0.15">
      <c r="H7" t="s">
        <v>13</v>
      </c>
      <c r="I7" s="5" t="s">
        <v>16</v>
      </c>
      <c r="J7" t="s">
        <v>17</v>
      </c>
    </row>
    <row r="8" spans="1:10" x14ac:dyDescent="0.15">
      <c r="E8" t="s">
        <v>8</v>
      </c>
    </row>
    <row r="9" spans="1:10" x14ac:dyDescent="0.15">
      <c r="E9" t="s">
        <v>9</v>
      </c>
      <c r="F9" s="1">
        <f>B1+B3-10*LOG10(F2)</f>
        <v>-41.784533890296487</v>
      </c>
    </row>
    <row r="10" spans="1:10" x14ac:dyDescent="0.15">
      <c r="E10" t="s">
        <v>10</v>
      </c>
      <c r="F10" s="3">
        <f>SQRT(F5*F3*F4)*1000000</f>
        <v>4999.7003995059649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2FEF8-AB99-E740-8EE7-A1C864A58EA1}">
  <dimension ref="A1:J10"/>
  <sheetViews>
    <sheetView workbookViewId="0">
      <selection activeCell="I6" sqref="I6"/>
    </sheetView>
  </sheetViews>
  <sheetFormatPr baseColWidth="10" defaultRowHeight="13" x14ac:dyDescent="0.15"/>
  <cols>
    <col min="8" max="8" width="20.1640625" bestFit="1" customWidth="1"/>
  </cols>
  <sheetData>
    <row r="1" spans="1:10" x14ac:dyDescent="0.15">
      <c r="A1" t="s">
        <v>0</v>
      </c>
      <c r="B1">
        <v>-46.25</v>
      </c>
      <c r="E1" t="s">
        <v>1</v>
      </c>
      <c r="F1">
        <f>10^((B1-30)/10)</f>
        <v>2.3713737056616511E-8</v>
      </c>
    </row>
    <row r="2" spans="1:10" x14ac:dyDescent="0.15">
      <c r="A2" t="s">
        <v>2</v>
      </c>
      <c r="B2">
        <v>3</v>
      </c>
      <c r="E2" t="s">
        <v>3</v>
      </c>
      <c r="F2" s="1">
        <f>4*3.1416*B2*B2</f>
        <v>113.0976</v>
      </c>
    </row>
    <row r="3" spans="1:10" x14ac:dyDescent="0.15">
      <c r="A3" t="s">
        <v>4</v>
      </c>
      <c r="B3">
        <v>25</v>
      </c>
      <c r="E3" t="s">
        <v>5</v>
      </c>
      <c r="F3" s="2">
        <f>F1/F2</f>
        <v>2.0967498034101973E-10</v>
      </c>
      <c r="H3" s="4" t="s">
        <v>11</v>
      </c>
      <c r="I3" s="4" t="s">
        <v>12</v>
      </c>
    </row>
    <row r="4" spans="1:10" x14ac:dyDescent="0.15">
      <c r="E4" t="s">
        <v>6</v>
      </c>
      <c r="F4">
        <v>377</v>
      </c>
    </row>
    <row r="5" spans="1:10" x14ac:dyDescent="0.15">
      <c r="E5" t="s">
        <v>7</v>
      </c>
      <c r="F5" s="1">
        <f>10^(B3/10)</f>
        <v>316.22776601683825</v>
      </c>
    </row>
    <row r="6" spans="1:10" x14ac:dyDescent="0.15">
      <c r="H6" t="s">
        <v>18</v>
      </c>
      <c r="I6" s="5" t="s">
        <v>16</v>
      </c>
      <c r="J6" t="s">
        <v>17</v>
      </c>
    </row>
    <row r="8" spans="1:10" x14ac:dyDescent="0.15">
      <c r="E8" t="s">
        <v>8</v>
      </c>
    </row>
    <row r="9" spans="1:10" x14ac:dyDescent="0.15">
      <c r="E9" t="s">
        <v>9</v>
      </c>
      <c r="F9" s="1">
        <f>B1+B3-10*LOG10(F2)</f>
        <v>-41.784533890296487</v>
      </c>
    </row>
    <row r="10" spans="1:10" x14ac:dyDescent="0.15">
      <c r="E10" t="s">
        <v>10</v>
      </c>
      <c r="F10" s="3">
        <f>SQRT(F5*F3*F4)*1000000</f>
        <v>4999.7003995059704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AC719-D98E-3D4E-9FCC-EB9577EE78E8}">
  <dimension ref="A1:J20"/>
  <sheetViews>
    <sheetView workbookViewId="0">
      <selection activeCell="B17" sqref="B17"/>
    </sheetView>
  </sheetViews>
  <sheetFormatPr baseColWidth="10" defaultRowHeight="13" x14ac:dyDescent="0.15"/>
  <cols>
    <col min="6" max="6" width="8.33203125" bestFit="1" customWidth="1"/>
    <col min="8" max="8" width="19.6640625" bestFit="1" customWidth="1"/>
  </cols>
  <sheetData>
    <row r="1" spans="1:10" x14ac:dyDescent="0.15">
      <c r="A1" s="6" t="s">
        <v>0</v>
      </c>
      <c r="B1" s="6">
        <v>-23.35</v>
      </c>
      <c r="C1" s="6"/>
      <c r="D1" s="6"/>
      <c r="E1" s="6" t="s">
        <v>1</v>
      </c>
      <c r="F1" s="7">
        <v>4.6238100000000004E-6</v>
      </c>
      <c r="G1" s="6"/>
      <c r="H1" s="6"/>
      <c r="I1" s="6"/>
    </row>
    <row r="2" spans="1:10" x14ac:dyDescent="0.15">
      <c r="A2" s="6" t="s">
        <v>2</v>
      </c>
      <c r="B2" s="6">
        <v>3</v>
      </c>
      <c r="C2" s="6"/>
      <c r="D2" s="6"/>
      <c r="E2" s="6" t="s">
        <v>3</v>
      </c>
      <c r="F2" s="6">
        <v>113.1</v>
      </c>
      <c r="G2" s="6"/>
      <c r="H2" s="6"/>
      <c r="I2" s="6"/>
    </row>
    <row r="3" spans="1:10" x14ac:dyDescent="0.15">
      <c r="A3" s="6" t="s">
        <v>4</v>
      </c>
      <c r="B3" s="6">
        <v>2.1</v>
      </c>
      <c r="C3" s="6"/>
      <c r="D3" s="6"/>
      <c r="E3" s="6" t="s">
        <v>5</v>
      </c>
      <c r="F3" s="7">
        <v>4.0879999999999999E-8</v>
      </c>
      <c r="G3" s="6"/>
      <c r="H3" s="4" t="s">
        <v>15</v>
      </c>
      <c r="I3" s="4" t="s">
        <v>12</v>
      </c>
    </row>
    <row r="4" spans="1:10" x14ac:dyDescent="0.15">
      <c r="A4" s="6"/>
      <c r="B4" s="6"/>
      <c r="C4" s="6"/>
      <c r="D4" s="6"/>
      <c r="E4" s="6" t="s">
        <v>6</v>
      </c>
      <c r="F4" s="6">
        <v>377</v>
      </c>
      <c r="G4" s="6"/>
      <c r="H4" s="6"/>
      <c r="I4" s="6"/>
    </row>
    <row r="5" spans="1:10" x14ac:dyDescent="0.15">
      <c r="A5" s="6"/>
      <c r="B5" s="6"/>
      <c r="C5" s="6"/>
      <c r="D5" s="6"/>
      <c r="E5" s="6" t="s">
        <v>7</v>
      </c>
      <c r="F5" s="6">
        <v>1.62</v>
      </c>
      <c r="G5" s="6"/>
      <c r="H5" t="s">
        <v>18</v>
      </c>
      <c r="I5" s="5" t="s">
        <v>20</v>
      </c>
      <c r="J5" t="s">
        <v>19</v>
      </c>
    </row>
    <row r="6" spans="1:10" x14ac:dyDescent="0.15">
      <c r="A6" s="6"/>
      <c r="B6" s="6"/>
      <c r="C6" s="6"/>
      <c r="D6" s="6"/>
      <c r="E6" s="6"/>
      <c r="F6" s="6"/>
      <c r="G6" s="6"/>
      <c r="H6" s="6"/>
      <c r="I6" s="6"/>
    </row>
    <row r="7" spans="1:10" x14ac:dyDescent="0.15">
      <c r="A7" s="6"/>
      <c r="B7" s="6"/>
      <c r="C7" s="6"/>
      <c r="D7" s="6"/>
      <c r="E7" s="6"/>
      <c r="F7" s="6"/>
      <c r="G7" s="6"/>
      <c r="H7" s="6"/>
      <c r="I7" s="6"/>
    </row>
    <row r="8" spans="1:10" x14ac:dyDescent="0.15">
      <c r="A8" s="6"/>
      <c r="B8" s="6"/>
      <c r="C8" s="6"/>
      <c r="D8" s="6"/>
      <c r="E8" s="6" t="s">
        <v>8</v>
      </c>
      <c r="F8" s="6"/>
    </row>
    <row r="9" spans="1:10" x14ac:dyDescent="0.15">
      <c r="A9" s="6"/>
      <c r="B9" s="6"/>
      <c r="C9" s="6"/>
      <c r="D9" s="6"/>
      <c r="E9" s="6" t="s">
        <v>9</v>
      </c>
      <c r="F9" s="6">
        <v>-41.78</v>
      </c>
      <c r="G9" s="6"/>
      <c r="H9" s="6"/>
      <c r="I9" s="6"/>
    </row>
    <row r="10" spans="1:10" x14ac:dyDescent="0.15">
      <c r="A10" s="6"/>
      <c r="B10" s="6"/>
      <c r="C10" s="6"/>
      <c r="D10" s="6"/>
      <c r="E10" s="6" t="s">
        <v>10</v>
      </c>
      <c r="F10" s="6">
        <v>5000</v>
      </c>
      <c r="G10" s="6"/>
      <c r="H10" s="6"/>
      <c r="I10" s="6"/>
    </row>
    <row r="11" spans="1:10" x14ac:dyDescent="0.15">
      <c r="A11" s="6"/>
      <c r="B11" s="6"/>
      <c r="C11" s="6"/>
      <c r="D11" s="6"/>
      <c r="E11" s="6"/>
      <c r="F11" s="6"/>
      <c r="G11" s="6"/>
      <c r="H11" s="6"/>
      <c r="I11" s="6"/>
    </row>
    <row r="12" spans="1:10" x14ac:dyDescent="0.15">
      <c r="A12" s="6"/>
      <c r="B12" s="6"/>
      <c r="C12" s="6"/>
      <c r="D12" s="6"/>
      <c r="E12" s="6"/>
      <c r="F12" s="6"/>
      <c r="G12" s="6"/>
      <c r="H12" s="6"/>
      <c r="I12" s="6"/>
    </row>
    <row r="16" spans="1:10" x14ac:dyDescent="0.15">
      <c r="A16" t="s">
        <v>21</v>
      </c>
      <c r="B16" t="s">
        <v>0</v>
      </c>
    </row>
    <row r="17" spans="1:1" x14ac:dyDescent="0.15">
      <c r="A17" t="s">
        <v>22</v>
      </c>
    </row>
    <row r="18" spans="1:1" x14ac:dyDescent="0.15">
      <c r="A18" t="s">
        <v>23</v>
      </c>
    </row>
    <row r="19" spans="1:1" x14ac:dyDescent="0.15">
      <c r="A19" t="s">
        <v>24</v>
      </c>
    </row>
    <row r="20" spans="1:1" x14ac:dyDescent="0.15">
      <c r="A20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Horn</vt:lpstr>
      <vt:lpstr>Yagi</vt:lpstr>
      <vt:lpstr>Folded Dipole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Ugalde, Dario Rios</cp:lastModifiedBy>
  <cp:revision>19</cp:revision>
  <dcterms:created xsi:type="dcterms:W3CDTF">2022-03-29T21:27:36Z</dcterms:created>
  <dcterms:modified xsi:type="dcterms:W3CDTF">2025-04-13T20:46:20Z</dcterms:modified>
  <dc:language>en-US</dc:language>
</cp:coreProperties>
</file>