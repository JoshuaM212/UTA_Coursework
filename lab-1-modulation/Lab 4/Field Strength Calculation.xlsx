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sidian/workspace_v11/Wireless - Lab 1/Lab 4/"/>
    </mc:Choice>
  </mc:AlternateContent>
  <xr:revisionPtr revIDLastSave="0" documentId="8_{9D4B2333-0C25-284F-A9D9-08D8E9B99150}" xr6:coauthVersionLast="47" xr6:coauthVersionMax="47" xr10:uidLastSave="{00000000-0000-0000-0000-000000000000}"/>
  <bookViews>
    <workbookView xWindow="5820" yWindow="860" windowWidth="28380" windowHeight="198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5" i="1" l="1"/>
  <c r="F2" i="1"/>
  <c r="F9" i="1" s="1"/>
  <c r="F1" i="1"/>
  <c r="F3" i="1" l="1"/>
  <c r="F10" i="1" s="1"/>
</calcChain>
</file>

<file path=xl/sharedStrings.xml><?xml version="1.0" encoding="utf-8"?>
<sst xmlns="http://schemas.openxmlformats.org/spreadsheetml/2006/main" count="13" uniqueCount="13">
  <si>
    <t>Power (dBm)</t>
  </si>
  <si>
    <t>Power (W)</t>
  </si>
  <si>
    <t>Distance (m)</t>
  </si>
  <si>
    <t>Area (m^2)</t>
  </si>
  <si>
    <t>Gain (dBi)</t>
  </si>
  <si>
    <t>PD (W/(m^2))</t>
  </si>
  <si>
    <t>R (ohms)</t>
  </si>
  <si>
    <t>Antenna Gain</t>
  </si>
  <si>
    <t>Max Power Density and E-Field Strength</t>
  </si>
  <si>
    <t>PD (dBm/(m^2))</t>
  </si>
  <si>
    <t>FS (uV/m)</t>
  </si>
  <si>
    <t xml:space="preserve">Measured wavelength: </t>
  </si>
  <si>
    <t>0.413507m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</si>
</sst>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2" x14ac:knownFonts="1">
    <font>
      <sz val="10"/>
      <name val="Arial"/>
      <family val="2"/>
      <charset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50" zoomScaleNormal="150" workbookViewId="0">
      <selection activeCell="D9" sqref="D9"/>
    </sheetView>
  </sheetViews>
  <sheetFormatPr baseColWidth="10" defaultColWidth="11.5" defaultRowHeight="13" x14ac:dyDescent="0.15"/>
  <cols>
    <col min="5" max="5" width="14.5" customWidth="1"/>
    <col min="6" max="6" width="13.6640625" customWidth="1"/>
    <col min="8" max="8" width="19.33203125" bestFit="1" customWidth="1"/>
  </cols>
  <sheetData>
    <row r="1" spans="1:9" x14ac:dyDescent="0.15">
      <c r="A1" t="s">
        <v>0</v>
      </c>
      <c r="B1">
        <v>-23.35</v>
      </c>
      <c r="E1" t="s">
        <v>1</v>
      </c>
      <c r="F1">
        <f>10^((B1-30)/10)</f>
        <v>4.6238102139926E-6</v>
      </c>
    </row>
    <row r="2" spans="1:9" x14ac:dyDescent="0.15">
      <c r="A2" t="s">
        <v>2</v>
      </c>
      <c r="B2">
        <v>3</v>
      </c>
      <c r="E2" t="s">
        <v>3</v>
      </c>
      <c r="F2" s="1">
        <f>4*3.1416*B2*B2</f>
        <v>113.0976</v>
      </c>
    </row>
    <row r="3" spans="1:9" x14ac:dyDescent="0.15">
      <c r="A3" t="s">
        <v>4</v>
      </c>
      <c r="B3">
        <v>2.1</v>
      </c>
      <c r="E3" t="s">
        <v>5</v>
      </c>
      <c r="F3" s="2">
        <f>F1/F2</f>
        <v>4.0883362812231208E-8</v>
      </c>
      <c r="H3" s="4" t="s">
        <v>11</v>
      </c>
      <c r="I3" s="4" t="s">
        <v>12</v>
      </c>
    </row>
    <row r="4" spans="1:9" x14ac:dyDescent="0.15">
      <c r="E4" t="s">
        <v>6</v>
      </c>
      <c r="F4">
        <v>377</v>
      </c>
    </row>
    <row r="5" spans="1:9" x14ac:dyDescent="0.15">
      <c r="E5" t="s">
        <v>7</v>
      </c>
      <c r="F5" s="1">
        <f>10^(B3/10)</f>
        <v>1.6218100973589302</v>
      </c>
    </row>
    <row r="8" spans="1:9" x14ac:dyDescent="0.15">
      <c r="E8" t="s">
        <v>8</v>
      </c>
    </row>
    <row r="9" spans="1:9" x14ac:dyDescent="0.15">
      <c r="E9" t="s">
        <v>9</v>
      </c>
      <c r="F9" s="1">
        <f>B1+B3-10*LOG10(F2)</f>
        <v>-41.784533890296487</v>
      </c>
    </row>
    <row r="10" spans="1:9" x14ac:dyDescent="0.15">
      <c r="E10" t="s">
        <v>10</v>
      </c>
      <c r="F10" s="3">
        <f>SQRT(F5*F3*F4)*1000000</f>
        <v>4999.7003995059713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Ugalde, Dario Rios</cp:lastModifiedBy>
  <cp:revision>19</cp:revision>
  <dcterms:created xsi:type="dcterms:W3CDTF">2022-03-29T21:27:36Z</dcterms:created>
  <dcterms:modified xsi:type="dcterms:W3CDTF">2025-04-04T21:25:04Z</dcterms:modified>
  <dc:language>en-US</dc:language>
</cp:coreProperties>
</file>