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Spring 2025\RISC-V\"/>
    </mc:Choice>
  </mc:AlternateContent>
  <xr:revisionPtr revIDLastSave="0" documentId="13_ncr:1_{EF8E9191-8310-4023-8708-AF8C1C8E9B94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SA" sheetId="1" r:id="rId1"/>
    <sheet name="ISA Testcases" sheetId="5" r:id="rId2"/>
    <sheet name="Reg ABI" sheetId="2" r:id="rId3"/>
    <sheet name="Pipeline" sheetId="3" r:id="rId4"/>
    <sheet name="ELF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30" i="5" l="1"/>
  <c r="F129" i="5"/>
  <c r="D169" i="5"/>
  <c r="D170" i="5" s="1"/>
  <c r="D171" i="5" s="1"/>
  <c r="D172" i="5" s="1"/>
  <c r="D173" i="5" s="1"/>
  <c r="B187" i="5"/>
  <c r="B188" i="5" s="1"/>
  <c r="B189" i="5" s="1"/>
  <c r="B190" i="5" s="1"/>
  <c r="B191" i="5" s="1"/>
  <c r="B184" i="5"/>
  <c r="B185" i="5" s="1"/>
  <c r="F20" i="5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</calcChain>
</file>

<file path=xl/sharedStrings.xml><?xml version="1.0" encoding="utf-8"?>
<sst xmlns="http://schemas.openxmlformats.org/spreadsheetml/2006/main" count="1654" uniqueCount="473">
  <si>
    <t>Instruction</t>
  </si>
  <si>
    <t>Operation</t>
  </si>
  <si>
    <t>En</t>
  </si>
  <si>
    <t>R</t>
  </si>
  <si>
    <t>funct7</t>
  </si>
  <si>
    <t>rs2</t>
  </si>
  <si>
    <t>rs1</t>
  </si>
  <si>
    <t>funct3</t>
  </si>
  <si>
    <t>rd</t>
  </si>
  <si>
    <t>opcode</t>
  </si>
  <si>
    <t>ADD</t>
  </si>
  <si>
    <t>rd ← rs1 + rs2</t>
  </si>
  <si>
    <t>SUB</t>
  </si>
  <si>
    <t>rd ← rs1 – rs2</t>
  </si>
  <si>
    <t>SLL</t>
  </si>
  <si>
    <t>rd ← rs1 &lt;&lt; rs2[4:0]</t>
  </si>
  <si>
    <t>SLT</t>
  </si>
  <si>
    <t>rd &lt;- 1 if rs1 &lt; rs2
rd &lt;- 0 else</t>
  </si>
  <si>
    <t>SLTU</t>
  </si>
  <si>
    <t>rd &lt;- 1 if rs1 &lt; rs2 (unsigned)
rd &lt;- 0 else</t>
  </si>
  <si>
    <t>XOR</t>
  </si>
  <si>
    <t>rd ← rs1 XOR rs2</t>
  </si>
  <si>
    <t>SRL</t>
  </si>
  <si>
    <t>rd ← rs1 &gt;&gt; rs2[4:0] (logical)</t>
  </si>
  <si>
    <t>SRA</t>
  </si>
  <si>
    <t>rd ← rs1 &gt;&gt; rs2[4:0] (arith)</t>
  </si>
  <si>
    <t>OR</t>
  </si>
  <si>
    <t>rd ← rs1 v rs2</t>
  </si>
  <si>
    <t>AND</t>
  </si>
  <si>
    <t>rd ← rs1 ^ rs2</t>
  </si>
  <si>
    <t>I</t>
  </si>
  <si>
    <t>i11</t>
  </si>
  <si>
    <t>i10</t>
  </si>
  <si>
    <t>i9</t>
  </si>
  <si>
    <t>i8</t>
  </si>
  <si>
    <t>i7</t>
  </si>
  <si>
    <t>i6</t>
  </si>
  <si>
    <t>i5</t>
  </si>
  <si>
    <t>i4</t>
  </si>
  <si>
    <t>i3</t>
  </si>
  <si>
    <t>i2</t>
  </si>
  <si>
    <t>i1</t>
  </si>
  <si>
    <t>i0</t>
  </si>
  <si>
    <t>JALR</t>
  </si>
  <si>
    <t>rd ← pc+4 //
pc ← rs1+signex(i[11:0]) (zero lsb)</t>
  </si>
  <si>
    <t>LB</t>
  </si>
  <si>
    <t>rd ← signex(byte[rs1+signex(i[11:0])</t>
  </si>
  <si>
    <t>LH</t>
  </si>
  <si>
    <t>rd ← signex(halfw[rs1+signex(i[11:0])</t>
  </si>
  <si>
    <t>LW</t>
  </si>
  <si>
    <t>rd ← word[rs1+signex(i[11:0]</t>
  </si>
  <si>
    <t>LBU</t>
  </si>
  <si>
    <t>rd ← 24’b0:[rs1+signex(i[11:0]</t>
  </si>
  <si>
    <t>LHU</t>
  </si>
  <si>
    <t>rd ← 16’b0:[rs1+signex(i[11:0]</t>
  </si>
  <si>
    <t>ADDI</t>
  </si>
  <si>
    <t>rd ← rs1 + signex(i[11:0])</t>
  </si>
  <si>
    <t>NOP codes as ADDI zero,zero,0</t>
  </si>
  <si>
    <t>SLTI</t>
  </si>
  <si>
    <t>rd &lt;- 1 if rs1 &lt; signex(i[11:0])
rd &lt;- 0 else</t>
  </si>
  <si>
    <t>SLTIU</t>
  </si>
  <si>
    <t>rd &lt;- 1 if rs1 &lt; signex(i[11:0]) (uns)
rd &lt;- 0 else (note: 2 disjoint ranges)</t>
  </si>
  <si>
    <t>XORI</t>
  </si>
  <si>
    <t>rd ← rs1 XOR signex(i[11:0])</t>
  </si>
  <si>
    <t>ORI</t>
  </si>
  <si>
    <t>rd ← rs1 v signex(i[11:0])</t>
  </si>
  <si>
    <t>ANDI</t>
  </si>
  <si>
    <t>rd ← rs1 ^ signex(i[11:0])</t>
  </si>
  <si>
    <t>SLLI</t>
  </si>
  <si>
    <t>rd ← rs1 &lt;&lt; shamt</t>
  </si>
  <si>
    <t>shamt</t>
  </si>
  <si>
    <t>h</t>
  </si>
  <si>
    <t>a</t>
  </si>
  <si>
    <t>m</t>
  </si>
  <si>
    <t>t</t>
  </si>
  <si>
    <t>SRLI</t>
  </si>
  <si>
    <t>rd ← rs1 &gt;&gt; shamt (logical)</t>
  </si>
  <si>
    <t>SRAI</t>
  </si>
  <si>
    <t>rd ← rs1 &gt;&gt; shamt (arith)</t>
  </si>
  <si>
    <t>FENCE</t>
  </si>
  <si>
    <t>pred/succ dev/mem r/w sets</t>
  </si>
  <si>
    <t>fm</t>
  </si>
  <si>
    <t>pi</t>
  </si>
  <si>
    <t>po</t>
  </si>
  <si>
    <t>pr</t>
  </si>
  <si>
    <t>pw</t>
  </si>
  <si>
    <t>si</t>
  </si>
  <si>
    <t>so</t>
  </si>
  <si>
    <t>sr</t>
  </si>
  <si>
    <t>sw</t>
  </si>
  <si>
    <t>encode as NOP</t>
  </si>
  <si>
    <t>ECALL</t>
  </si>
  <si>
    <t>system call</t>
  </si>
  <si>
    <t>EBREAK</t>
  </si>
  <si>
    <t>breakpoint</t>
  </si>
  <si>
    <t>S</t>
  </si>
  <si>
    <t>SB</t>
  </si>
  <si>
    <t>byte[rs1 + signex(i[11:0] ← rs2[7:0]</t>
  </si>
  <si>
    <t>SH</t>
  </si>
  <si>
    <t>halfw[rs1 + signex(i[11:0] ← rs2[15:0]</t>
  </si>
  <si>
    <t>SW</t>
  </si>
  <si>
    <t>word[rs1 + signex(i[11:0] ← rs2</t>
  </si>
  <si>
    <t>B</t>
  </si>
  <si>
    <t>i12</t>
  </si>
  <si>
    <t>BEQ</t>
  </si>
  <si>
    <t>if (rs1 == rs2), 
pc←pc + 2*signex(i[12:1])</t>
  </si>
  <si>
    <t>BNE</t>
  </si>
  <si>
    <t>if (rs1 != rs2), 
pc←pc + 2*signex(i[12:1])</t>
  </si>
  <si>
    <t>BLT</t>
  </si>
  <si>
    <t>if (rs1 &lt; rs2), 
pc←pc + 2*signex(i[12:1])</t>
  </si>
  <si>
    <t>BGE</t>
  </si>
  <si>
    <t>if (rs1 ≥ rs2), 
pc←pc + 2*signex(i[12:1])</t>
  </si>
  <si>
    <t>BLTU</t>
  </si>
  <si>
    <t>if (rs1 &lt; rs2) (uns), 
pc←pc + 2*signex(i[12:1])</t>
  </si>
  <si>
    <t>BGEU</t>
  </si>
  <si>
    <t>if (rs1 ≥ rs2) (uns), 
pc←pc + 2*signex(i[12:1])</t>
  </si>
  <si>
    <t>U</t>
  </si>
  <si>
    <t>i31</t>
  </si>
  <si>
    <t>i30</t>
  </si>
  <si>
    <t>i29</t>
  </si>
  <si>
    <t>i28</t>
  </si>
  <si>
    <t>i27</t>
  </si>
  <si>
    <t>i26</t>
  </si>
  <si>
    <t>i25</t>
  </si>
  <si>
    <t>i24</t>
  </si>
  <si>
    <t>i23</t>
  </si>
  <si>
    <t>i22</t>
  </si>
  <si>
    <t>i21</t>
  </si>
  <si>
    <t>i20</t>
  </si>
  <si>
    <t>i19</t>
  </si>
  <si>
    <t>i18</t>
  </si>
  <si>
    <t>i17</t>
  </si>
  <si>
    <t>i16</t>
  </si>
  <si>
    <t>i15</t>
  </si>
  <si>
    <t>i14</t>
  </si>
  <si>
    <t>i13</t>
  </si>
  <si>
    <t>LUI</t>
  </si>
  <si>
    <t>rd ← i[31:12]:12’b0</t>
  </si>
  <si>
    <t>AUIPC</t>
  </si>
  <si>
    <t>rd ←i[31:12]:12’b0 + PC</t>
  </si>
  <si>
    <t>J</t>
  </si>
  <si>
    <t>JAL</t>
  </si>
  <si>
    <t>rd ← pc+4 //
pc ← pc+2*signex(i[20:1])</t>
  </si>
  <si>
    <t>Register</t>
  </si>
  <si>
    <t>ABI Name</t>
  </si>
  <si>
    <t>Description</t>
  </si>
  <si>
    <t>Saved by</t>
  </si>
  <si>
    <t>zero</t>
  </si>
  <si>
    <t>always zero</t>
  </si>
  <si>
    <t>ra</t>
  </si>
  <si>
    <t>return address</t>
  </si>
  <si>
    <t>Caller</t>
  </si>
  <si>
    <t>sp</t>
  </si>
  <si>
    <t>stack pointer</t>
  </si>
  <si>
    <t>Callee</t>
  </si>
  <si>
    <t>gp</t>
  </si>
  <si>
    <t>global pointer</t>
  </si>
  <si>
    <t>tp</t>
  </si>
  <si>
    <t>thread pointer</t>
  </si>
  <si>
    <t>t0</t>
  </si>
  <si>
    <t>temp / alt ra for millicode</t>
  </si>
  <si>
    <t>t1</t>
  </si>
  <si>
    <t>temp</t>
  </si>
  <si>
    <t>t2</t>
  </si>
  <si>
    <t>s0/fp</t>
  </si>
  <si>
    <t>saved reg / frame pointer</t>
  </si>
  <si>
    <t>s1</t>
  </si>
  <si>
    <t>saved reg</t>
  </si>
  <si>
    <t>a0</t>
  </si>
  <si>
    <t>fn args / return value</t>
  </si>
  <si>
    <t>a1</t>
  </si>
  <si>
    <t>a2</t>
  </si>
  <si>
    <t>fn args</t>
  </si>
  <si>
    <t>a3</t>
  </si>
  <si>
    <t>a4</t>
  </si>
  <si>
    <t>a5</t>
  </si>
  <si>
    <t>a6</t>
  </si>
  <si>
    <t>a7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</si>
  <si>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</si>
  <si>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</si>
  <si>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</si>
  <si>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</si>
  <si>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</si>
  <si>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</si>
  <si>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</si>
  <si>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</si>
  <si>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</si>
  <si>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</si>
  <si>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t3</t>
  </si>
  <si>
    <t>t4</t>
  </si>
  <si>
    <t>t5</t>
  </si>
  <si>
    <t>t6</t>
  </si>
  <si>
    <t>PC</t>
  </si>
  <si>
    <t>pc</t>
  </si>
  <si>
    <t>program counter</t>
  </si>
  <si>
    <t>Note RV32e does not have R16-31</t>
  </si>
  <si>
    <t>IF</t>
  </si>
  <si>
    <t>ID/RR</t>
  </si>
  <si>
    <t>EX</t>
  </si>
  <si>
    <t>MEM</t>
  </si>
  <si>
    <t>WB</t>
  </si>
  <si>
    <t>PC gen</t>
  </si>
  <si>
    <t>Control unit in f7, opcode</t>
  </si>
  <si>
    <t>ALU (for data and addgen)</t>
  </si>
  <si>
    <t>Data mem</t>
  </si>
  <si>
    <t>Reg write</t>
  </si>
  <si>
    <t>IM read</t>
  </si>
  <si>
    <t>Control unit generates</t>
  </si>
  <si>
    <t>- Control from</t>
  </si>
  <si>
    <t>- r/w control</t>
  </si>
  <si>
    <t>- enable</t>
  </si>
  <si>
    <t>- mem rw, width, s/u</t>
  </si>
  <si>
    <t xml:space="preserve">  - func3, func7, opcode</t>
  </si>
  <si>
    <t>- width control</t>
  </si>
  <si>
    <t>- src ctrl</t>
  </si>
  <si>
    <t>PC values from</t>
  </si>
  <si>
    <t>- reg write en/num/src</t>
  </si>
  <si>
    <t>- Arg src</t>
  </si>
  <si>
    <t>- u/s control</t>
  </si>
  <si>
    <t>- number from rd</t>
  </si>
  <si>
    <t>- SB, UJ, JALR</t>
  </si>
  <si>
    <t>- alu op src</t>
  </si>
  <si>
    <t>- Arg1 from</t>
  </si>
  <si>
    <t>- write data from rs2</t>
  </si>
  <si>
    <t>- data from</t>
  </si>
  <si>
    <t>- immed ext sel</t>
  </si>
  <si>
    <t xml:space="preserve">  - pc, pc+4</t>
  </si>
  <si>
    <t>- read data extended to wb</t>
  </si>
  <si>
    <t xml:space="preserve">  - mem, alu, or csr</t>
  </si>
  <si>
    <t>- ctrl branch, next pc ctrl</t>
  </si>
  <si>
    <t xml:space="preserve">  - rs1</t>
  </si>
  <si>
    <t>- add from alu</t>
  </si>
  <si>
    <t>Reg read</t>
  </si>
  <si>
    <t xml:space="preserve">  - df: alu, wb</t>
  </si>
  <si>
    <t>- rs1 and rs2 numbers</t>
  </si>
  <si>
    <t>- Arg2 from</t>
  </si>
  <si>
    <t>questions:</t>
  </si>
  <si>
    <t>Imm se/gen</t>
  </si>
  <si>
    <t xml:space="preserve">  - immed</t>
  </si>
  <si>
    <t>what is store unit on in</t>
  </si>
  <si>
    <t>- Ctrl from</t>
  </si>
  <si>
    <t xml:space="preserve">  - rs2</t>
  </si>
  <si>
    <t xml:space="preserve">  - PC, instr word, ext sel</t>
  </si>
  <si>
    <t>- Values</t>
  </si>
  <si>
    <t>Data forwarding inputs:</t>
  </si>
  <si>
    <t xml:space="preserve">  - immed to ex</t>
  </si>
  <si>
    <t xml:space="preserve">  - sb and uj</t>
  </si>
  <si>
    <t>- rd for mem and wb</t>
  </si>
  <si>
    <t>- wr en for mem and wb</t>
  </si>
  <si>
    <t>- rd for wb</t>
  </si>
  <si>
    <t>- wr en for wb</t>
  </si>
  <si>
    <t>JALR gen inputs</t>
  </si>
  <si>
    <t>- immed and op1</t>
  </si>
  <si>
    <t>Branch unit</t>
  </si>
  <si>
    <t>- Inputs from</t>
  </si>
  <si>
    <t xml:space="preserve">  - branch ctrl and func3</t>
  </si>
  <si>
    <t xml:space="preserve">  - op1, op2</t>
  </si>
  <si>
    <t>Branch forwarding</t>
  </si>
  <si>
    <t xml:space="preserve">  - rs1 and rs2 numbers</t>
  </si>
  <si>
    <t xml:space="preserve">  - ctrl branch from cu</t>
  </si>
  <si>
    <t xml:space="preserve">  - rd1 from ex,mem,wb</t>
  </si>
  <si>
    <t xml:space="preserve">  - reg wr end from 3 above</t>
  </si>
  <si>
    <t xml:space="preserve">  - mem rd from 3 above</t>
  </si>
  <si>
    <t>ELF Header</t>
  </si>
  <si>
    <t>.ELF</t>
  </si>
  <si>
    <t>Class</t>
  </si>
  <si>
    <t>1 (32b), 2 (64b)</t>
  </si>
  <si>
    <t>Endianess</t>
  </si>
  <si>
    <t>1 (little endian), 2 (big endian)</t>
  </si>
  <si>
    <t>Version</t>
  </si>
  <si>
    <t>OS/ABI</t>
  </si>
  <si>
    <t>ABI Version</t>
  </si>
  <si>
    <t>Machine</t>
  </si>
  <si>
    <t>Type</t>
  </si>
  <si>
    <t>REL (1), EXEC (2), DYN/SOF (3), CORE (4)</t>
  </si>
  <si>
    <t>Segments</t>
  </si>
  <si>
    <t>Sections</t>
  </si>
  <si>
    <t>Data</t>
  </si>
  <si>
    <t>iw_in</t>
  </si>
  <si>
    <t>rs1_data</t>
  </si>
  <si>
    <t>rs2_data</t>
  </si>
  <si>
    <t>alu_out</t>
  </si>
  <si>
    <t>Testing Cases</t>
  </si>
  <si>
    <t>Pc_In</t>
  </si>
  <si>
    <t>R-type: ADD</t>
  </si>
  <si>
    <t>00000000 00000000 00000000 00110011</t>
  </si>
  <si>
    <t>NULL</t>
  </si>
  <si>
    <t>R-type: SUB</t>
  </si>
  <si>
    <t>01000000 00000000 00000000 00110011</t>
  </si>
  <si>
    <t>00000000 00000000 00010000 00110011</t>
  </si>
  <si>
    <t>R-type: SLL</t>
  </si>
  <si>
    <t>Status</t>
  </si>
  <si>
    <t>Evaluation</t>
  </si>
  <si>
    <t>PASS</t>
  </si>
  <si>
    <t>4294967296(oflow)</t>
  </si>
  <si>
    <t>R-type: SLT</t>
  </si>
  <si>
    <t>00000000 00000000 00100000 00110011</t>
  </si>
  <si>
    <t>-90 (2's comp)</t>
  </si>
  <si>
    <t>R-type: SLTU</t>
  </si>
  <si>
    <t>00000000 00000000 00110000 00110011</t>
  </si>
  <si>
    <t>R-type: XOR</t>
  </si>
  <si>
    <t>00000000 00000000 01000000 00110011</t>
  </si>
  <si>
    <t>'-90 (2's comp)</t>
  </si>
  <si>
    <t>00000000 00000000 01010000 00110011</t>
  </si>
  <si>
    <t>R-type: SRL</t>
  </si>
  <si>
    <t>R-type: SRA</t>
  </si>
  <si>
    <t>R-type: OR</t>
  </si>
  <si>
    <t>R-type: AND</t>
  </si>
  <si>
    <t>00000000 00000000 01110000 00110011</t>
  </si>
  <si>
    <t>00000000 00000000 01100000 00110011</t>
  </si>
  <si>
    <t>01000000 00000000 01010000 00110011</t>
  </si>
  <si>
    <t>J-type: JAL</t>
  </si>
  <si>
    <t>U-type: AUIPC</t>
  </si>
  <si>
    <t>U-type: LUI</t>
  </si>
  <si>
    <t>I-type: JALR</t>
  </si>
  <si>
    <t>S-type:SW</t>
  </si>
  <si>
    <t>S-type:SB</t>
  </si>
  <si>
    <t>S-type:SH</t>
  </si>
  <si>
    <t xml:space="preserve"> - &gt; 20-bit instr</t>
  </si>
  <si>
    <t xml:space="preserve"> - &gt;  20-bit instr</t>
  </si>
  <si>
    <t>[00000000 00000000 0111] 0000 00110111</t>
  </si>
  <si>
    <t>[00000000 00000111 0000] 0000 00110111</t>
  </si>
  <si>
    <t>[00000000 01000000 1010] 0000 00110111</t>
  </si>
  <si>
    <t>[11100000 10101110 1010] 0000 00110111</t>
  </si>
  <si>
    <t>[00000000 00000000 0000] 0000 00110111</t>
  </si>
  <si>
    <t>[10101010 10101010 1010] 0000 00110111</t>
  </si>
  <si>
    <t>[00000000 00000111 0000] 0000 01101111</t>
  </si>
  <si>
    <t>[00000000 00000000 0111] 0000 01101111</t>
  </si>
  <si>
    <t>[10101010 10101010 1010] 0000 01101111</t>
  </si>
  <si>
    <t>[00000000 00000000 0000] 0000 01101111</t>
  </si>
  <si>
    <t>[11100000 10101110 1010] 0000 01101111</t>
  </si>
  <si>
    <t>[00000000 01000000 1010] 0000 01101111</t>
  </si>
  <si>
    <t xml:space="preserve"> - &gt; 12-bit instr</t>
  </si>
  <si>
    <t>[00000000 0000] 0000 00000000 01100111</t>
  </si>
  <si>
    <t>[00000000 1111] 0000 00000000 01100111</t>
  </si>
  <si>
    <t>[00001111 0000] 0000 00000000 01100111</t>
  </si>
  <si>
    <t>[11110000 0000] 0000 00000000 01100111</t>
  </si>
  <si>
    <t>[11111111 1111] 0000 00000000 01100111</t>
  </si>
  <si>
    <t>[0000000]0 00000000 0010 [0000 0] 0100011</t>
  </si>
  <si>
    <t xml:space="preserve"> - &gt; 7-bit instr</t>
  </si>
  <si>
    <t xml:space="preserve"> - &gt; 5-bit instr</t>
  </si>
  <si>
    <t>[0000000]0 00000000 0000 [0000 0] 0100011</t>
  </si>
  <si>
    <t>[0000000]0 00000000 0001 [0000 0] 0100011</t>
  </si>
  <si>
    <t>[0000000]0 00000000 0000 [1111 0] 0100011</t>
  </si>
  <si>
    <t>[1111111]0 00000000 0000 [0000 0] 0100011</t>
  </si>
  <si>
    <t>[1111111]0 00000000 0000 [1111 0] 0100011</t>
  </si>
  <si>
    <t>[1111111]0 00000000 0000 [1100 1] 0100011</t>
  </si>
  <si>
    <t>[1100000]0 00000000 0000 [1100 1] 0100011</t>
  </si>
  <si>
    <t>[0000000]0 00000000 0001 [1111 0] 0100011</t>
  </si>
  <si>
    <t>[1111111]0 00000000 0001 [0000 0] 0100011</t>
  </si>
  <si>
    <t>[1111111]0 00000000 0001 [1111 0] 0100011</t>
  </si>
  <si>
    <t>[1100000]0 00000000 0001 [1100 1] 0100011</t>
  </si>
  <si>
    <t>[1111111]0 00000000 0001 [1100 1] 0100011</t>
  </si>
  <si>
    <t>[0000000]0 00000000 0010 [1111 0] 0100011</t>
  </si>
  <si>
    <t>[1111111]0 00000000 0010 [0000 0] 0100011</t>
  </si>
  <si>
    <t>[1111111]0 00000000 0010 [1111 0] 0100011</t>
  </si>
  <si>
    <t>[1100000]0 00000000 0010 [1100 1] 0100011</t>
  </si>
  <si>
    <t>[1111111]0 00000000 0010 [1100 1] 0100011</t>
  </si>
  <si>
    <t>R-type: LB</t>
  </si>
  <si>
    <t>R-type: LH</t>
  </si>
  <si>
    <t>R-type: LW</t>
  </si>
  <si>
    <t>R-type: LBU</t>
  </si>
  <si>
    <t>R-type: LHU</t>
  </si>
  <si>
    <t>R-type: ADDI</t>
  </si>
  <si>
    <t>R-type: SLTI</t>
  </si>
  <si>
    <t>R-type: SLTIU</t>
  </si>
  <si>
    <t>R-type: XORI</t>
  </si>
  <si>
    <t>R-type: ORI</t>
  </si>
  <si>
    <t>R-type: ANDI</t>
  </si>
  <si>
    <t>R-type: SLLI</t>
  </si>
  <si>
    <t>R-type: SRLI</t>
  </si>
  <si>
    <t>R-type: SRAI</t>
  </si>
  <si>
    <t>[00000000 0000] 0000 00000000 00000011</t>
  </si>
  <si>
    <t>[00000000 0011] 0000 00000000 00000011</t>
  </si>
  <si>
    <t>[00000000 1100] 0000 00000000 00000011</t>
  </si>
  <si>
    <t>[00000011 0000] 0000 00000000 00000011</t>
  </si>
  <si>
    <t>[00011000 0011] 0000 00000000 00000011</t>
  </si>
  <si>
    <t>[11111111 1111] 0000 00000000 00000011</t>
  </si>
  <si>
    <t>[00000000 0000] 0000 00010000 00000011</t>
  </si>
  <si>
    <t>[00000000 0011] 0000 00010000 00000011</t>
  </si>
  <si>
    <t>[11111111 1111] 0000 00010000 00000011</t>
  </si>
  <si>
    <t>[00011000 0011] 0000 00010000 00000011</t>
  </si>
  <si>
    <t>[00000011 0000] 0000 00010000 00000011</t>
  </si>
  <si>
    <t>[00000000 1100] 0000 00010000 00000011</t>
  </si>
  <si>
    <t>[00000000 0000] 0000 00100000 00000011</t>
  </si>
  <si>
    <t>[00000000 0011] 0000 00100000 00000011</t>
  </si>
  <si>
    <t>[00000000 1100] 0000 00100000 00000011</t>
  </si>
  <si>
    <t>[00000011 0000] 0000 00100000 00000011</t>
  </si>
  <si>
    <t>[00011000 0011] 0000 00100000 00000011</t>
  </si>
  <si>
    <t>[11111111 1111] 0000 00100000 00000011</t>
  </si>
  <si>
    <t>[00000000 0000] 0000 01000000 00000011</t>
  </si>
  <si>
    <t>[00000000 0011] 0000 01000000 00000011</t>
  </si>
  <si>
    <t>[00000000 1100] 0000 01000000 00000011</t>
  </si>
  <si>
    <t>[00000011 0000] 0000 01000000 00000011</t>
  </si>
  <si>
    <t>[00011000 0011] 0000 01000000 00000011</t>
  </si>
  <si>
    <t>[11111111 1111] 0000 01000000 00000011</t>
  </si>
  <si>
    <t>[11111111 1111] 0000 01010000 00000011</t>
  </si>
  <si>
    <t>[00011000 0011] 0000 01010000 00000011</t>
  </si>
  <si>
    <t>[00000000 0000] 0000 01010000 00000011</t>
  </si>
  <si>
    <t>[00000000 0011] 0000 01010000 00000011</t>
  </si>
  <si>
    <t>[00000000 1100] 0000 01010000 00000011</t>
  </si>
  <si>
    <t>[00000011 0000] 0000 01010000 00000011</t>
  </si>
  <si>
    <t>[00000000 0000] 0000 00000000 00010011</t>
  </si>
  <si>
    <t>[00000000 0011] 0000 00000000 00010011</t>
  </si>
  <si>
    <t>[00000000 1100] 0000 00000000 00010011</t>
  </si>
  <si>
    <t>[00000011 0000] 0000 00000000 00010011</t>
  </si>
  <si>
    <t>[00011000 0011] 0000 00000000 00010011</t>
  </si>
  <si>
    <t>[11111111 1111] 0000 00000000 00010011</t>
  </si>
  <si>
    <t>[11111111 1111] 0000 01110000 00010011</t>
  </si>
  <si>
    <t>[00011000 0011] 0000 01110000 00010011</t>
  </si>
  <si>
    <t>[00000011 0000] 0000 01110000 00010011</t>
  </si>
  <si>
    <t>[00000000 1100] 0000 01110000 00010011</t>
  </si>
  <si>
    <t>[00000000 0011] 0000 01110000 00010011</t>
  </si>
  <si>
    <t>[00000000 0000] 0000 01110000 00010011</t>
  </si>
  <si>
    <t>[00000000 0000] 0000 01100000 00010011</t>
  </si>
  <si>
    <t>[00000000 0011] 0000 01100000 00010011</t>
  </si>
  <si>
    <t>[00000000 1100] 0000 01100000 00010011</t>
  </si>
  <si>
    <t>[00000011 0000] 0000 01100000 00010011</t>
  </si>
  <si>
    <t>[00011000 0011] 0000 01100000 00010011</t>
  </si>
  <si>
    <t>[11111111 1111] 0000 01100000 00010011</t>
  </si>
  <si>
    <t>[00000000 0000] 0000 01000000 00010011</t>
  </si>
  <si>
    <t>[00000000 0011] 0000 01000000 00010011</t>
  </si>
  <si>
    <t>[00000000 1100] 0000 01000000 00010011</t>
  </si>
  <si>
    <t>[00000011 0000] 0000 01000000 00010011</t>
  </si>
  <si>
    <t>[00011000 0011] 0000 01000000 00010011</t>
  </si>
  <si>
    <t>[11111111 1111] 0000 01000000 00010011</t>
  </si>
  <si>
    <t>[00000000 0000] 0000 00100000 00010011</t>
  </si>
  <si>
    <t>[00000000 0011] 0000 00100000 00010011</t>
  </si>
  <si>
    <t>[00000000 1100] 0000 00100000 00010011</t>
  </si>
  <si>
    <t>[00000011 0000] 0000 00100000 00010011</t>
  </si>
  <si>
    <t>[00011000 0011] 0000 00100000 00010011</t>
  </si>
  <si>
    <t>[11111111 1111] 0000 00100000 00010011</t>
  </si>
  <si>
    <t>[00000000 0000] 0000 00110000 00010011</t>
  </si>
  <si>
    <t>[00000000 0011] 0000 00110000 00010011</t>
  </si>
  <si>
    <t>[00000000 1100] 0000 00110000 00010011</t>
  </si>
  <si>
    <t>[00000011 0000] 0000 00110000 00010011</t>
  </si>
  <si>
    <t>[00011000 0011] 0000 00110000 00010011</t>
  </si>
  <si>
    <t>[11111111 1111] 0000 00110000 00010011</t>
  </si>
  <si>
    <t>0000000 [00000] 0000 00010000 00010011</t>
  </si>
  <si>
    <t>0000000 [00000] 0000 01010000 00010011</t>
  </si>
  <si>
    <t>0000000 [11111] 0000 00010000 00010011</t>
  </si>
  <si>
    <t>0000000 [11111] 0000 01010000 00010011</t>
  </si>
  <si>
    <t>0000000 [00111] 0000 00010000 00010011</t>
  </si>
  <si>
    <t>0000000 [00111] 0000 01010000 00010011</t>
  </si>
  <si>
    <t>0000000 [00001] 0000 00010000 00010011</t>
  </si>
  <si>
    <t>0000000 [00011] 0000 00010000 00010011</t>
  </si>
  <si>
    <t>0000000 [01111] 0000 00010000 00010011</t>
  </si>
  <si>
    <t>0000000 [00001] 0000 01010000 00010011</t>
  </si>
  <si>
    <t>0000000 [00011] 0000 01010000 00010011</t>
  </si>
  <si>
    <t>0000000 [01111] 0000 01010000 00010011</t>
  </si>
  <si>
    <t>signex(byte[rs1+signex(i[11:0])</t>
  </si>
  <si>
    <t>Notes</t>
  </si>
  <si>
    <t>Continue testing: Didn't not test if having  16th MSB carried signed</t>
  </si>
  <si>
    <t>- Helps decifer if LW is proper (REPLACE ZER0 FOR MAX VALUE)</t>
  </si>
  <si>
    <t>shrink the last test instruction word to not end early, ensure all 32 bits</t>
  </si>
  <si>
    <t xml:space="preserve">  - can be carried over</t>
  </si>
  <si>
    <t>0100000 [00000] 0000 01010000 00010011</t>
  </si>
  <si>
    <t>0100000 [00001] 0000 01010000 00010011</t>
  </si>
  <si>
    <t>0100000 [00011] 0000 01010000 00010011</t>
  </si>
  <si>
    <t>0100000 [00111] 0000 01010000 00010011</t>
  </si>
  <si>
    <t>0100000 [01111] 0000 01010000 00010011</t>
  </si>
  <si>
    <t>0100000 [11111] 0000 01010000 00010011</t>
  </si>
  <si>
    <t>FAIL</t>
  </si>
  <si>
    <t>Restructure the allu_out assignment, as the numbers are being wiped</t>
  </si>
  <si>
    <t>TOO LAZY</t>
  </si>
  <si>
    <t>PASSED</t>
  </si>
  <si>
    <t>Correct the opcodes in the testcases to properly test them</t>
  </si>
  <si>
    <t>[00000000 00000000 0111] 0000 00010111</t>
  </si>
  <si>
    <t>[00000000 00000111 0000] 0000 00010111</t>
  </si>
  <si>
    <t>[00000000 01000000 1010] 0000 00010111</t>
  </si>
  <si>
    <t>[11100000 10101110 1010] 0000 00010111</t>
  </si>
  <si>
    <t>[00000000 00000000 0000] 0000 00010111</t>
  </si>
  <si>
    <t>[10101010 10101010 1010] 0000 00010111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</si>
</sst>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sz val="8"/>
      <name val="Arial"/>
      <family val="2"/>
      <charset val="1"/>
    </font>
    <font>
      <strike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729FCF"/>
        <bgColor rgb="FF808080"/>
      </patternFill>
    </fill>
    <fill>
      <patternFill patternType="solid">
        <fgColor rgb="FFFF6D6D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CC99FF"/>
      </patternFill>
    </fill>
    <fill>
      <patternFill patternType="solid">
        <fgColor rgb="FFBF819E"/>
        <bgColor rgb="FF808080"/>
      </patternFill>
    </fill>
    <fill>
      <patternFill patternType="solid">
        <fgColor rgb="FFDEE6EF"/>
        <bgColor rgb="FFDDE8CB"/>
      </patternFill>
    </fill>
    <fill>
      <patternFill patternType="solid">
        <fgColor rgb="FFDDE8CB"/>
        <bgColor rgb="FFDEE6EF"/>
      </patternFill>
    </fill>
    <fill>
      <patternFill patternType="solid">
        <fgColor rgb="FFE8F2A1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quotePrefix="1"/>
    <xf numFmtId="49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993366"/>
      <rgbColor rgb="FFFFFFCC"/>
      <rgbColor rgb="FFDEE6E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DDA87-5B12-499A-8FF5-8F8A47F67119}" name="Table1" displayName="Table1" ref="A1:G191" totalsRowShown="0">
  <autoFilter ref="A1:G191" xr:uid="{C84DDA87-5B12-499A-8FF5-8F8A47F67119}"/>
  <tableColumns count="7">
    <tableColumn id="1" xr3:uid="{77F257B3-4BAA-4E01-926B-610B072A1AB7}" name="Testing Cases"/>
    <tableColumn id="2" xr3:uid="{4319B433-4263-488B-8BA9-CBDE8ACDF335}" name="Pc_In" dataDxfId="7"/>
    <tableColumn id="3" xr3:uid="{589923B3-EDBC-4415-A0B4-716FC5A790B2}" name="iw_in"/>
    <tableColumn id="4" xr3:uid="{79AAED52-F7C8-4D65-9450-743D8EC03F05}" name="rs1_data"/>
    <tableColumn id="5" xr3:uid="{313D6537-46FA-40F7-BC88-AB22DE7A1387}" name="rs2_data" dataDxfId="6"/>
    <tableColumn id="6" xr3:uid="{E10DC8F9-5A90-4B3C-B46D-7E677CDC03EB}" name="alu_out"/>
    <tableColumn id="7" xr3:uid="{FDE75567-372D-43DC-94D1-BA3874D1F165}" name="Evaluati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4E960-3BDC-4BEC-A475-F4F7C9DAA71E}" name="Table2" displayName="Table2" ref="I1:K32" totalsRowShown="0" headerRowDxfId="4" dataDxfId="3">
  <autoFilter ref="I1:K32" xr:uid="{E1F4E960-3BDC-4BEC-A475-F4F7C9DAA71E}"/>
  <tableColumns count="3">
    <tableColumn id="1" xr3:uid="{6E7BF1B5-D8A5-4F13-9535-2C08E39D26F0}" name="Type" dataDxfId="2"/>
    <tableColumn id="2" xr3:uid="{AAC17DE1-4D3C-4F6D-B04C-0E2BAB3CE29C}" name="Instruction" dataDxfId="1"/>
    <tableColumn id="3" xr3:uid="{73AF7F04-5FAE-43CD-9A86-CA588EEF97F8}" name="Status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85B348-4160-4776-B060-F6003D7F077D}" name="Table3" displayName="Table3" ref="M1:N19" totalsRowShown="0">
  <autoFilter ref="M1:N19" xr:uid="{A385B348-4160-4776-B060-F6003D7F077D}"/>
  <tableColumns count="2">
    <tableColumn id="1" xr3:uid="{05F31E16-0F02-4630-BF9C-233BEDAED088}" name="Instruction"/>
    <tableColumn id="2" xr3:uid="{6C2794AD-7A48-4F9B-A14E-7B1127AA1578}" name="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B78"/>
  <sheetViews>
    <sheetView topLeftCell="A40" zoomScale="133" zoomScaleNormal="70" workbookViewId="0">
      <selection activeCell="B42" sqref="B42"/>
    </sheetView>
  </sheetViews>
  <sheetFormatPr defaultColWidth="11.6328125" defaultRowHeight="12.5" x14ac:dyDescent="0.25"/>
  <cols>
    <col min="1" max="1" width="9.90625" style="2" customWidth="1"/>
    <col min="2" max="2" width="31.1796875" style="3" customWidth="1"/>
    <col min="3" max="3" width="3.1796875" style="2" customWidth="1"/>
    <col min="4" max="35" width="3.1796875" customWidth="1"/>
  </cols>
  <sheetData>
    <row r="1" spans="1:964" x14ac:dyDescent="0.25">
      <c r="A1" s="1" t="s">
        <v>0</v>
      </c>
      <c r="B1" s="4" t="s">
        <v>1</v>
      </c>
      <c r="C1" s="1" t="s">
        <v>2</v>
      </c>
      <c r="D1" s="1">
        <v>31</v>
      </c>
      <c r="E1" s="1">
        <v>30</v>
      </c>
      <c r="F1" s="1">
        <v>29</v>
      </c>
      <c r="G1" s="1">
        <v>28</v>
      </c>
      <c r="H1" s="1">
        <v>27</v>
      </c>
      <c r="I1" s="1">
        <v>26</v>
      </c>
      <c r="J1" s="1">
        <v>25</v>
      </c>
      <c r="K1" s="1">
        <v>24</v>
      </c>
      <c r="L1" s="1">
        <v>23</v>
      </c>
      <c r="M1" s="1">
        <v>22</v>
      </c>
      <c r="N1" s="1">
        <v>21</v>
      </c>
      <c r="O1" s="1">
        <v>20</v>
      </c>
      <c r="P1" s="1">
        <v>19</v>
      </c>
      <c r="Q1" s="1">
        <v>18</v>
      </c>
      <c r="R1" s="1">
        <v>17</v>
      </c>
      <c r="S1" s="1">
        <v>16</v>
      </c>
      <c r="T1" s="1">
        <v>15</v>
      </c>
      <c r="U1" s="1">
        <v>14</v>
      </c>
      <c r="V1" s="1">
        <v>13</v>
      </c>
      <c r="W1" s="1">
        <v>12</v>
      </c>
      <c r="X1" s="1">
        <v>11</v>
      </c>
      <c r="Y1" s="1">
        <v>10</v>
      </c>
      <c r="Z1" s="1">
        <v>9</v>
      </c>
      <c r="AA1" s="1">
        <v>8</v>
      </c>
      <c r="AB1" s="1">
        <v>7</v>
      </c>
      <c r="AC1" s="1">
        <v>6</v>
      </c>
      <c r="AD1" s="1">
        <v>5</v>
      </c>
      <c r="AE1" s="1">
        <v>4</v>
      </c>
      <c r="AF1" s="1">
        <v>3</v>
      </c>
      <c r="AG1" s="1">
        <v>2</v>
      </c>
      <c r="AH1" s="1">
        <v>1</v>
      </c>
      <c r="AI1" s="1">
        <v>0</v>
      </c>
      <c r="AKB1">
        <v>7</v>
      </c>
    </row>
    <row r="2" spans="1:964" ht="13" x14ac:dyDescent="0.3">
      <c r="A2" s="5" t="s">
        <v>3</v>
      </c>
      <c r="B2" s="6"/>
      <c r="C2" s="1"/>
      <c r="D2" s="25" t="s">
        <v>4</v>
      </c>
      <c r="E2" s="25"/>
      <c r="F2" s="25"/>
      <c r="G2" s="25"/>
      <c r="H2" s="25"/>
      <c r="I2" s="25"/>
      <c r="J2" s="25"/>
      <c r="K2" s="25" t="s">
        <v>5</v>
      </c>
      <c r="L2" s="25"/>
      <c r="M2" s="25"/>
      <c r="N2" s="25"/>
      <c r="O2" s="25"/>
      <c r="P2" s="25" t="s">
        <v>6</v>
      </c>
      <c r="Q2" s="25"/>
      <c r="R2" s="25"/>
      <c r="S2" s="25"/>
      <c r="T2" s="25"/>
      <c r="U2" s="25" t="s">
        <v>7</v>
      </c>
      <c r="V2" s="25"/>
      <c r="W2" s="25"/>
      <c r="X2" s="25" t="s">
        <v>8</v>
      </c>
      <c r="Y2" s="25"/>
      <c r="Z2" s="25"/>
      <c r="AA2" s="25"/>
      <c r="AB2" s="25"/>
      <c r="AC2" s="25" t="s">
        <v>9</v>
      </c>
      <c r="AD2" s="25"/>
      <c r="AE2" s="25"/>
      <c r="AF2" s="25"/>
      <c r="AG2" s="25"/>
      <c r="AH2" s="25"/>
      <c r="AI2" s="25"/>
    </row>
    <row r="3" spans="1:964" x14ac:dyDescent="0.25">
      <c r="A3" s="7" t="s">
        <v>10</v>
      </c>
      <c r="B3" s="4" t="s">
        <v>11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25" t="s">
        <v>5</v>
      </c>
      <c r="L3" s="25"/>
      <c r="M3" s="25"/>
      <c r="N3" s="25"/>
      <c r="O3" s="25"/>
      <c r="P3" s="25" t="s">
        <v>6</v>
      </c>
      <c r="Q3" s="25"/>
      <c r="R3" s="25"/>
      <c r="S3" s="25"/>
      <c r="T3" s="25"/>
      <c r="U3" s="1">
        <v>0</v>
      </c>
      <c r="V3" s="1">
        <v>0</v>
      </c>
      <c r="W3" s="1">
        <v>0</v>
      </c>
      <c r="X3" s="25" t="s">
        <v>8</v>
      </c>
      <c r="Y3" s="25"/>
      <c r="Z3" s="25"/>
      <c r="AA3" s="25"/>
      <c r="AB3" s="25"/>
      <c r="AC3" s="7">
        <v>0</v>
      </c>
      <c r="AD3" s="7">
        <v>1</v>
      </c>
      <c r="AE3" s="7">
        <v>1</v>
      </c>
      <c r="AF3" s="7">
        <v>0</v>
      </c>
      <c r="AG3" s="7">
        <v>0</v>
      </c>
      <c r="AH3" s="7">
        <v>1</v>
      </c>
      <c r="AI3" s="7">
        <v>1</v>
      </c>
    </row>
    <row r="4" spans="1:964" x14ac:dyDescent="0.25">
      <c r="A4" s="7" t="s">
        <v>12</v>
      </c>
      <c r="B4" s="4" t="s">
        <v>13</v>
      </c>
      <c r="C4" s="1" t="s">
        <v>3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25" t="s">
        <v>5</v>
      </c>
      <c r="L4" s="25"/>
      <c r="M4" s="25"/>
      <c r="N4" s="25"/>
      <c r="O4" s="25"/>
      <c r="P4" s="25" t="s">
        <v>6</v>
      </c>
      <c r="Q4" s="25"/>
      <c r="R4" s="25"/>
      <c r="S4" s="25"/>
      <c r="T4" s="25"/>
      <c r="U4" s="1">
        <v>0</v>
      </c>
      <c r="V4" s="1">
        <v>0</v>
      </c>
      <c r="W4" s="1">
        <v>0</v>
      </c>
      <c r="X4" s="25" t="s">
        <v>8</v>
      </c>
      <c r="Y4" s="25"/>
      <c r="Z4" s="25"/>
      <c r="AA4" s="25"/>
      <c r="AB4" s="25"/>
      <c r="AC4" s="7">
        <v>0</v>
      </c>
      <c r="AD4" s="7">
        <v>1</v>
      </c>
      <c r="AE4" s="7">
        <v>1</v>
      </c>
      <c r="AF4" s="7">
        <v>0</v>
      </c>
      <c r="AG4" s="7">
        <v>0</v>
      </c>
      <c r="AH4" s="7">
        <v>1</v>
      </c>
      <c r="AI4" s="7">
        <v>1</v>
      </c>
    </row>
    <row r="5" spans="1:964" x14ac:dyDescent="0.25">
      <c r="A5" s="7" t="s">
        <v>14</v>
      </c>
      <c r="B5" s="4" t="s">
        <v>15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25" t="s">
        <v>5</v>
      </c>
      <c r="L5" s="25"/>
      <c r="M5" s="25"/>
      <c r="N5" s="25"/>
      <c r="O5" s="25"/>
      <c r="P5" s="25" t="s">
        <v>6</v>
      </c>
      <c r="Q5" s="25"/>
      <c r="R5" s="25"/>
      <c r="S5" s="25"/>
      <c r="T5" s="25"/>
      <c r="U5" s="1">
        <v>0</v>
      </c>
      <c r="V5" s="1">
        <v>0</v>
      </c>
      <c r="W5" s="1">
        <v>1</v>
      </c>
      <c r="X5" s="25" t="s">
        <v>8</v>
      </c>
      <c r="Y5" s="25"/>
      <c r="Z5" s="25"/>
      <c r="AA5" s="25"/>
      <c r="AB5" s="25"/>
      <c r="AC5" s="7">
        <v>0</v>
      </c>
      <c r="AD5" s="7">
        <v>1</v>
      </c>
      <c r="AE5" s="7">
        <v>1</v>
      </c>
      <c r="AF5" s="7">
        <v>0</v>
      </c>
      <c r="AG5" s="7">
        <v>0</v>
      </c>
      <c r="AH5" s="7">
        <v>1</v>
      </c>
      <c r="AI5" s="7">
        <v>1</v>
      </c>
    </row>
    <row r="6" spans="1:964" ht="25" x14ac:dyDescent="0.25">
      <c r="A6" s="7" t="s">
        <v>16</v>
      </c>
      <c r="B6" s="8" t="s">
        <v>17</v>
      </c>
      <c r="C6" s="1" t="s">
        <v>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25" t="s">
        <v>5</v>
      </c>
      <c r="L6" s="25"/>
      <c r="M6" s="25"/>
      <c r="N6" s="25"/>
      <c r="O6" s="25"/>
      <c r="P6" s="25" t="s">
        <v>6</v>
      </c>
      <c r="Q6" s="25"/>
      <c r="R6" s="25"/>
      <c r="S6" s="25"/>
      <c r="T6" s="25"/>
      <c r="U6" s="1">
        <v>0</v>
      </c>
      <c r="V6" s="1">
        <v>1</v>
      </c>
      <c r="W6" s="1">
        <v>0</v>
      </c>
      <c r="X6" s="25" t="s">
        <v>8</v>
      </c>
      <c r="Y6" s="25"/>
      <c r="Z6" s="25"/>
      <c r="AA6" s="25"/>
      <c r="AB6" s="25"/>
      <c r="AC6" s="7">
        <v>0</v>
      </c>
      <c r="AD6" s="7">
        <v>1</v>
      </c>
      <c r="AE6" s="7">
        <v>1</v>
      </c>
      <c r="AF6" s="7">
        <v>0</v>
      </c>
      <c r="AG6" s="7">
        <v>0</v>
      </c>
      <c r="AH6" s="7">
        <v>1</v>
      </c>
      <c r="AI6" s="7">
        <v>1</v>
      </c>
    </row>
    <row r="7" spans="1:964" ht="25" x14ac:dyDescent="0.25">
      <c r="A7" s="7" t="s">
        <v>18</v>
      </c>
      <c r="B7" s="8" t="s">
        <v>19</v>
      </c>
      <c r="C7" s="1" t="s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25" t="s">
        <v>5</v>
      </c>
      <c r="L7" s="25"/>
      <c r="M7" s="25"/>
      <c r="N7" s="25"/>
      <c r="O7" s="25"/>
      <c r="P7" s="25" t="s">
        <v>6</v>
      </c>
      <c r="Q7" s="25"/>
      <c r="R7" s="25"/>
      <c r="S7" s="25"/>
      <c r="T7" s="25"/>
      <c r="U7" s="1">
        <v>0</v>
      </c>
      <c r="V7" s="1">
        <v>1</v>
      </c>
      <c r="W7" s="1">
        <v>1</v>
      </c>
      <c r="X7" s="25" t="s">
        <v>8</v>
      </c>
      <c r="Y7" s="25"/>
      <c r="Z7" s="25"/>
      <c r="AA7" s="25"/>
      <c r="AB7" s="25"/>
      <c r="AC7" s="7">
        <v>0</v>
      </c>
      <c r="AD7" s="7">
        <v>1</v>
      </c>
      <c r="AE7" s="7">
        <v>1</v>
      </c>
      <c r="AF7" s="7">
        <v>0</v>
      </c>
      <c r="AG7" s="7">
        <v>0</v>
      </c>
      <c r="AH7" s="7">
        <v>1</v>
      </c>
      <c r="AI7" s="7">
        <v>1</v>
      </c>
    </row>
    <row r="8" spans="1:964" x14ac:dyDescent="0.25">
      <c r="A8" s="7" t="s">
        <v>20</v>
      </c>
      <c r="B8" s="4" t="s">
        <v>21</v>
      </c>
      <c r="C8" s="1" t="s">
        <v>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25" t="s">
        <v>5</v>
      </c>
      <c r="L8" s="25"/>
      <c r="M8" s="25"/>
      <c r="N8" s="25"/>
      <c r="O8" s="25"/>
      <c r="P8" s="25" t="s">
        <v>6</v>
      </c>
      <c r="Q8" s="25"/>
      <c r="R8" s="25"/>
      <c r="S8" s="25"/>
      <c r="T8" s="25"/>
      <c r="U8" s="1">
        <v>1</v>
      </c>
      <c r="V8" s="1">
        <v>0</v>
      </c>
      <c r="W8" s="1">
        <v>0</v>
      </c>
      <c r="X8" s="25" t="s">
        <v>8</v>
      </c>
      <c r="Y8" s="25"/>
      <c r="Z8" s="25"/>
      <c r="AA8" s="25"/>
      <c r="AB8" s="25"/>
      <c r="AC8" s="7">
        <v>0</v>
      </c>
      <c r="AD8" s="7">
        <v>1</v>
      </c>
      <c r="AE8" s="7">
        <v>1</v>
      </c>
      <c r="AF8" s="7">
        <v>0</v>
      </c>
      <c r="AG8" s="7">
        <v>0</v>
      </c>
      <c r="AH8" s="7">
        <v>1</v>
      </c>
      <c r="AI8" s="7">
        <v>1</v>
      </c>
    </row>
    <row r="9" spans="1:964" x14ac:dyDescent="0.25">
      <c r="A9" s="7" t="s">
        <v>22</v>
      </c>
      <c r="B9" s="4" t="s">
        <v>23</v>
      </c>
      <c r="C9" s="1" t="s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25" t="s">
        <v>5</v>
      </c>
      <c r="L9" s="25"/>
      <c r="M9" s="25"/>
      <c r="N9" s="25"/>
      <c r="O9" s="25"/>
      <c r="P9" s="25" t="s">
        <v>6</v>
      </c>
      <c r="Q9" s="25"/>
      <c r="R9" s="25"/>
      <c r="S9" s="25"/>
      <c r="T9" s="25"/>
      <c r="U9" s="1">
        <v>1</v>
      </c>
      <c r="V9" s="1">
        <v>0</v>
      </c>
      <c r="W9" s="1">
        <v>1</v>
      </c>
      <c r="X9" s="25" t="s">
        <v>8</v>
      </c>
      <c r="Y9" s="25"/>
      <c r="Z9" s="25"/>
      <c r="AA9" s="25"/>
      <c r="AB9" s="25"/>
      <c r="AC9" s="7">
        <v>0</v>
      </c>
      <c r="AD9" s="7">
        <v>1</v>
      </c>
      <c r="AE9" s="7">
        <v>1</v>
      </c>
      <c r="AF9" s="7">
        <v>0</v>
      </c>
      <c r="AG9" s="7">
        <v>0</v>
      </c>
      <c r="AH9" s="7">
        <v>1</v>
      </c>
      <c r="AI9" s="7">
        <v>1</v>
      </c>
    </row>
    <row r="10" spans="1:964" x14ac:dyDescent="0.25">
      <c r="A10" s="7" t="s">
        <v>24</v>
      </c>
      <c r="B10" s="4" t="s">
        <v>25</v>
      </c>
      <c r="C10" s="1" t="s">
        <v>3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5" t="s">
        <v>5</v>
      </c>
      <c r="L10" s="25"/>
      <c r="M10" s="25"/>
      <c r="N10" s="25"/>
      <c r="O10" s="25"/>
      <c r="P10" s="25" t="s">
        <v>6</v>
      </c>
      <c r="Q10" s="25"/>
      <c r="R10" s="25"/>
      <c r="S10" s="25"/>
      <c r="T10" s="25"/>
      <c r="U10" s="1">
        <v>1</v>
      </c>
      <c r="V10" s="1">
        <v>0</v>
      </c>
      <c r="W10" s="1">
        <v>1</v>
      </c>
      <c r="X10" s="25" t="s">
        <v>8</v>
      </c>
      <c r="Y10" s="25"/>
      <c r="Z10" s="25"/>
      <c r="AA10" s="25"/>
      <c r="AB10" s="25"/>
      <c r="AC10" s="7">
        <v>0</v>
      </c>
      <c r="AD10" s="7">
        <v>1</v>
      </c>
      <c r="AE10" s="7">
        <v>1</v>
      </c>
      <c r="AF10" s="7">
        <v>0</v>
      </c>
      <c r="AG10" s="7">
        <v>0</v>
      </c>
      <c r="AH10" s="7">
        <v>1</v>
      </c>
      <c r="AI10" s="7">
        <v>1</v>
      </c>
    </row>
    <row r="11" spans="1:964" x14ac:dyDescent="0.25">
      <c r="A11" s="7" t="s">
        <v>26</v>
      </c>
      <c r="B11" s="4" t="s">
        <v>27</v>
      </c>
      <c r="C11" s="1" t="s">
        <v>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5" t="s">
        <v>5</v>
      </c>
      <c r="L11" s="25"/>
      <c r="M11" s="25"/>
      <c r="N11" s="25"/>
      <c r="O11" s="25"/>
      <c r="P11" s="25" t="s">
        <v>6</v>
      </c>
      <c r="Q11" s="25"/>
      <c r="R11" s="25"/>
      <c r="S11" s="25"/>
      <c r="T11" s="25"/>
      <c r="U11" s="1">
        <v>1</v>
      </c>
      <c r="V11" s="1">
        <v>1</v>
      </c>
      <c r="W11" s="1">
        <v>0</v>
      </c>
      <c r="X11" s="25" t="s">
        <v>8</v>
      </c>
      <c r="Y11" s="25"/>
      <c r="Z11" s="25"/>
      <c r="AA11" s="25"/>
      <c r="AB11" s="25"/>
      <c r="AC11" s="7">
        <v>0</v>
      </c>
      <c r="AD11" s="7">
        <v>1</v>
      </c>
      <c r="AE11" s="7">
        <v>1</v>
      </c>
      <c r="AF11" s="7">
        <v>0</v>
      </c>
      <c r="AG11" s="7">
        <v>0</v>
      </c>
      <c r="AH11" s="7">
        <v>1</v>
      </c>
      <c r="AI11" s="7">
        <v>1</v>
      </c>
    </row>
    <row r="12" spans="1:964" x14ac:dyDescent="0.25">
      <c r="A12" s="7" t="s">
        <v>28</v>
      </c>
      <c r="B12" s="4" t="s">
        <v>29</v>
      </c>
      <c r="C12" s="1" t="s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5" t="s">
        <v>5</v>
      </c>
      <c r="L12" s="25"/>
      <c r="M12" s="25"/>
      <c r="N12" s="25"/>
      <c r="O12" s="25"/>
      <c r="P12" s="25" t="s">
        <v>6</v>
      </c>
      <c r="Q12" s="25"/>
      <c r="R12" s="25"/>
      <c r="S12" s="25"/>
      <c r="T12" s="25"/>
      <c r="U12" s="1">
        <v>1</v>
      </c>
      <c r="V12" s="1">
        <v>1</v>
      </c>
      <c r="W12" s="1">
        <v>1</v>
      </c>
      <c r="X12" s="25" t="s">
        <v>8</v>
      </c>
      <c r="Y12" s="25"/>
      <c r="Z12" s="25"/>
      <c r="AA12" s="25"/>
      <c r="AB12" s="25"/>
      <c r="AC12" s="7">
        <v>0</v>
      </c>
      <c r="AD12" s="7">
        <v>1</v>
      </c>
      <c r="AE12" s="7">
        <v>1</v>
      </c>
      <c r="AF12" s="7">
        <v>0</v>
      </c>
      <c r="AG12" s="7">
        <v>0</v>
      </c>
      <c r="AH12" s="7">
        <v>1</v>
      </c>
      <c r="AI12" s="7">
        <v>1</v>
      </c>
    </row>
    <row r="13" spans="1:964" ht="13" x14ac:dyDescent="0.3">
      <c r="A13" s="5" t="s">
        <v>30</v>
      </c>
      <c r="B13" s="6"/>
      <c r="C13" s="1"/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25" t="s">
        <v>6</v>
      </c>
      <c r="Q13" s="25"/>
      <c r="R13" s="25"/>
      <c r="S13" s="25"/>
      <c r="T13" s="25"/>
      <c r="U13" s="25" t="s">
        <v>7</v>
      </c>
      <c r="V13" s="25"/>
      <c r="W13" s="25"/>
      <c r="X13" s="25" t="s">
        <v>8</v>
      </c>
      <c r="Y13" s="25"/>
      <c r="Z13" s="25"/>
      <c r="AA13" s="25"/>
      <c r="AB13" s="25"/>
      <c r="AC13" s="25" t="s">
        <v>9</v>
      </c>
      <c r="AD13" s="25"/>
      <c r="AE13" s="25"/>
      <c r="AF13" s="25"/>
      <c r="AG13" s="25"/>
      <c r="AH13" s="25"/>
      <c r="AI13" s="25"/>
    </row>
    <row r="14" spans="1:964" ht="25" x14ac:dyDescent="0.25">
      <c r="A14" s="9" t="s">
        <v>43</v>
      </c>
      <c r="B14" s="8" t="s">
        <v>44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  <c r="O14" s="1" t="s">
        <v>42</v>
      </c>
      <c r="P14" s="25" t="s">
        <v>6</v>
      </c>
      <c r="Q14" s="25"/>
      <c r="R14" s="25"/>
      <c r="S14" s="25"/>
      <c r="T14" s="25"/>
      <c r="U14" s="1">
        <v>0</v>
      </c>
      <c r="V14" s="1">
        <v>0</v>
      </c>
      <c r="W14" s="1">
        <v>0</v>
      </c>
      <c r="X14" s="25" t="s">
        <v>8</v>
      </c>
      <c r="Y14" s="25"/>
      <c r="Z14" s="25"/>
      <c r="AA14" s="25"/>
      <c r="AB14" s="25"/>
      <c r="AC14" s="9">
        <v>1</v>
      </c>
      <c r="AD14" s="9">
        <v>1</v>
      </c>
      <c r="AE14" s="9">
        <v>0</v>
      </c>
      <c r="AF14" s="9">
        <v>0</v>
      </c>
      <c r="AG14" s="9">
        <v>1</v>
      </c>
      <c r="AH14" s="9">
        <v>1</v>
      </c>
      <c r="AI14" s="9">
        <v>1</v>
      </c>
    </row>
    <row r="15" spans="1:964" x14ac:dyDescent="0.25">
      <c r="A15" s="10" t="s">
        <v>45</v>
      </c>
      <c r="B15" s="4" t="s">
        <v>46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39</v>
      </c>
      <c r="M15" s="1" t="s">
        <v>40</v>
      </c>
      <c r="N15" s="1" t="s">
        <v>41</v>
      </c>
      <c r="O15" s="1" t="s">
        <v>42</v>
      </c>
      <c r="P15" s="25" t="s">
        <v>6</v>
      </c>
      <c r="Q15" s="25"/>
      <c r="R15" s="25"/>
      <c r="S15" s="25"/>
      <c r="T15" s="25"/>
      <c r="U15" s="1">
        <v>0</v>
      </c>
      <c r="V15" s="1">
        <v>0</v>
      </c>
      <c r="W15" s="1">
        <v>0</v>
      </c>
      <c r="X15" s="25" t="s">
        <v>8</v>
      </c>
      <c r="Y15" s="25"/>
      <c r="Z15" s="25"/>
      <c r="AA15" s="25"/>
      <c r="AB15" s="25"/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1</v>
      </c>
      <c r="AI15" s="10">
        <v>1</v>
      </c>
    </row>
    <row r="16" spans="1:964" x14ac:dyDescent="0.25">
      <c r="A16" s="10" t="s">
        <v>47</v>
      </c>
      <c r="B16" s="4" t="s">
        <v>48</v>
      </c>
      <c r="C16" s="1" t="s">
        <v>30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41</v>
      </c>
      <c r="O16" s="1" t="s">
        <v>42</v>
      </c>
      <c r="P16" s="25" t="s">
        <v>6</v>
      </c>
      <c r="Q16" s="25"/>
      <c r="R16" s="25"/>
      <c r="S16" s="25"/>
      <c r="T16" s="25"/>
      <c r="U16" s="1">
        <v>0</v>
      </c>
      <c r="V16" s="1">
        <v>0</v>
      </c>
      <c r="W16" s="1">
        <v>1</v>
      </c>
      <c r="X16" s="25" t="s">
        <v>8</v>
      </c>
      <c r="Y16" s="25"/>
      <c r="Z16" s="25"/>
      <c r="AA16" s="25"/>
      <c r="AB16" s="25"/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1</v>
      </c>
      <c r="AI16" s="10">
        <v>1</v>
      </c>
    </row>
    <row r="17" spans="1:36" x14ac:dyDescent="0.25">
      <c r="A17" s="10" t="s">
        <v>49</v>
      </c>
      <c r="B17" s="4" t="s">
        <v>50</v>
      </c>
      <c r="C17" s="1" t="s">
        <v>30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40</v>
      </c>
      <c r="N17" s="1" t="s">
        <v>41</v>
      </c>
      <c r="O17" s="1" t="s">
        <v>42</v>
      </c>
      <c r="P17" s="25" t="s">
        <v>6</v>
      </c>
      <c r="Q17" s="25"/>
      <c r="R17" s="25"/>
      <c r="S17" s="25"/>
      <c r="T17" s="25"/>
      <c r="U17" s="1">
        <v>0</v>
      </c>
      <c r="V17" s="1">
        <v>1</v>
      </c>
      <c r="W17" s="1">
        <v>0</v>
      </c>
      <c r="X17" s="25" t="s">
        <v>8</v>
      </c>
      <c r="Y17" s="25"/>
      <c r="Z17" s="25"/>
      <c r="AA17" s="25"/>
      <c r="AB17" s="25"/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1</v>
      </c>
    </row>
    <row r="18" spans="1:36" x14ac:dyDescent="0.25">
      <c r="A18" s="10" t="s">
        <v>51</v>
      </c>
      <c r="B18" s="4" t="s">
        <v>52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  <c r="M18" s="1" t="s">
        <v>40</v>
      </c>
      <c r="N18" s="1" t="s">
        <v>41</v>
      </c>
      <c r="O18" s="1" t="s">
        <v>42</v>
      </c>
      <c r="P18" s="25" t="s">
        <v>6</v>
      </c>
      <c r="Q18" s="25"/>
      <c r="R18" s="25"/>
      <c r="S18" s="25"/>
      <c r="T18" s="25"/>
      <c r="U18" s="1">
        <v>1</v>
      </c>
      <c r="V18" s="1">
        <v>0</v>
      </c>
      <c r="W18" s="1">
        <v>0</v>
      </c>
      <c r="X18" s="25" t="s">
        <v>8</v>
      </c>
      <c r="Y18" s="25"/>
      <c r="Z18" s="25"/>
      <c r="AA18" s="25"/>
      <c r="AB18" s="25"/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1</v>
      </c>
      <c r="AI18" s="10">
        <v>1</v>
      </c>
    </row>
    <row r="19" spans="1:36" x14ac:dyDescent="0.25">
      <c r="A19" s="10" t="s">
        <v>53</v>
      </c>
      <c r="B19" s="4" t="s">
        <v>54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41</v>
      </c>
      <c r="O19" s="1" t="s">
        <v>42</v>
      </c>
      <c r="P19" s="25" t="s">
        <v>6</v>
      </c>
      <c r="Q19" s="25"/>
      <c r="R19" s="25"/>
      <c r="S19" s="25"/>
      <c r="T19" s="25"/>
      <c r="U19" s="1">
        <v>1</v>
      </c>
      <c r="V19" s="1">
        <v>0</v>
      </c>
      <c r="W19" s="1">
        <v>1</v>
      </c>
      <c r="X19" s="25" t="s">
        <v>8</v>
      </c>
      <c r="Y19" s="25"/>
      <c r="Z19" s="25"/>
      <c r="AA19" s="25"/>
      <c r="AB19" s="25"/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</v>
      </c>
      <c r="AI19" s="10">
        <v>1</v>
      </c>
    </row>
    <row r="20" spans="1:36" x14ac:dyDescent="0.25">
      <c r="A20" s="11" t="s">
        <v>55</v>
      </c>
      <c r="B20" s="4" t="s">
        <v>56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39</v>
      </c>
      <c r="M20" s="1" t="s">
        <v>40</v>
      </c>
      <c r="N20" s="1" t="s">
        <v>41</v>
      </c>
      <c r="O20" s="1" t="s">
        <v>42</v>
      </c>
      <c r="P20" s="25" t="s">
        <v>6</v>
      </c>
      <c r="Q20" s="25"/>
      <c r="R20" s="25"/>
      <c r="S20" s="25"/>
      <c r="T20" s="25"/>
      <c r="U20" s="1">
        <v>0</v>
      </c>
      <c r="V20" s="1">
        <v>0</v>
      </c>
      <c r="W20" s="1">
        <v>0</v>
      </c>
      <c r="X20" s="25" t="s">
        <v>8</v>
      </c>
      <c r="Y20" s="25"/>
      <c r="Z20" s="25"/>
      <c r="AA20" s="25"/>
      <c r="AB20" s="25"/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1</v>
      </c>
      <c r="AI20" s="11">
        <v>1</v>
      </c>
      <c r="AJ20" t="s">
        <v>57</v>
      </c>
    </row>
    <row r="21" spans="1:36" ht="25" x14ac:dyDescent="0.25">
      <c r="A21" s="11" t="s">
        <v>58</v>
      </c>
      <c r="B21" s="8" t="s">
        <v>59</v>
      </c>
      <c r="C21" s="1" t="s">
        <v>30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39</v>
      </c>
      <c r="M21" s="1" t="s">
        <v>40</v>
      </c>
      <c r="N21" s="1" t="s">
        <v>41</v>
      </c>
      <c r="O21" s="1" t="s">
        <v>42</v>
      </c>
      <c r="P21" s="25" t="s">
        <v>6</v>
      </c>
      <c r="Q21" s="25"/>
      <c r="R21" s="25"/>
      <c r="S21" s="25"/>
      <c r="T21" s="25"/>
      <c r="U21" s="1">
        <v>0</v>
      </c>
      <c r="V21" s="1">
        <v>1</v>
      </c>
      <c r="W21" s="1">
        <v>0</v>
      </c>
      <c r="X21" s="25" t="s">
        <v>8</v>
      </c>
      <c r="Y21" s="25"/>
      <c r="Z21" s="25"/>
      <c r="AA21" s="25"/>
      <c r="AB21" s="25"/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1</v>
      </c>
      <c r="AI21" s="11">
        <v>1</v>
      </c>
    </row>
    <row r="22" spans="1:36" ht="25" x14ac:dyDescent="0.25">
      <c r="A22" s="11" t="s">
        <v>60</v>
      </c>
      <c r="B22" s="8" t="s">
        <v>61</v>
      </c>
      <c r="C22" s="1" t="s">
        <v>30</v>
      </c>
      <c r="D22" s="1" t="s">
        <v>31</v>
      </c>
      <c r="E22" s="1" t="s">
        <v>32</v>
      </c>
      <c r="F22" s="1" t="s">
        <v>33</v>
      </c>
      <c r="G22" s="1" t="s">
        <v>34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39</v>
      </c>
      <c r="M22" s="1" t="s">
        <v>40</v>
      </c>
      <c r="N22" s="1" t="s">
        <v>41</v>
      </c>
      <c r="O22" s="1" t="s">
        <v>42</v>
      </c>
      <c r="P22" s="25" t="s">
        <v>6</v>
      </c>
      <c r="Q22" s="25"/>
      <c r="R22" s="25"/>
      <c r="S22" s="25"/>
      <c r="T22" s="25"/>
      <c r="U22" s="1">
        <v>0</v>
      </c>
      <c r="V22" s="1">
        <v>1</v>
      </c>
      <c r="W22" s="1">
        <v>1</v>
      </c>
      <c r="X22" s="25" t="s">
        <v>8</v>
      </c>
      <c r="Y22" s="25"/>
      <c r="Z22" s="25"/>
      <c r="AA22" s="25"/>
      <c r="AB22" s="25"/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1</v>
      </c>
      <c r="AI22" s="11">
        <v>1</v>
      </c>
    </row>
    <row r="23" spans="1:36" x14ac:dyDescent="0.25">
      <c r="A23" s="11" t="s">
        <v>62</v>
      </c>
      <c r="B23" s="4" t="s">
        <v>63</v>
      </c>
      <c r="C23" s="1" t="s">
        <v>30</v>
      </c>
      <c r="D23" s="1" t="s">
        <v>31</v>
      </c>
      <c r="E23" s="1" t="s">
        <v>32</v>
      </c>
      <c r="F23" s="1" t="s">
        <v>33</v>
      </c>
      <c r="G23" s="1" t="s">
        <v>34</v>
      </c>
      <c r="H23" s="1" t="s">
        <v>35</v>
      </c>
      <c r="I23" s="1" t="s">
        <v>36</v>
      </c>
      <c r="J23" s="1" t="s">
        <v>37</v>
      </c>
      <c r="K23" s="1" t="s">
        <v>38</v>
      </c>
      <c r="L23" s="1" t="s">
        <v>39</v>
      </c>
      <c r="M23" s="1" t="s">
        <v>40</v>
      </c>
      <c r="N23" s="1" t="s">
        <v>41</v>
      </c>
      <c r="O23" s="1" t="s">
        <v>42</v>
      </c>
      <c r="P23" s="25" t="s">
        <v>6</v>
      </c>
      <c r="Q23" s="25"/>
      <c r="R23" s="25"/>
      <c r="S23" s="25"/>
      <c r="T23" s="25"/>
      <c r="U23" s="1">
        <v>1</v>
      </c>
      <c r="V23" s="1">
        <v>0</v>
      </c>
      <c r="W23" s="1">
        <v>0</v>
      </c>
      <c r="X23" s="25" t="s">
        <v>8</v>
      </c>
      <c r="Y23" s="25"/>
      <c r="Z23" s="25"/>
      <c r="AA23" s="25"/>
      <c r="AB23" s="25"/>
      <c r="AC23" s="11">
        <v>0</v>
      </c>
      <c r="AD23" s="11">
        <v>0</v>
      </c>
      <c r="AE23" s="11">
        <v>1</v>
      </c>
      <c r="AF23" s="11">
        <v>0</v>
      </c>
      <c r="AG23" s="11">
        <v>0</v>
      </c>
      <c r="AH23" s="11">
        <v>1</v>
      </c>
      <c r="AI23" s="11">
        <v>1</v>
      </c>
    </row>
    <row r="24" spans="1:36" x14ac:dyDescent="0.25">
      <c r="A24" s="11" t="s">
        <v>64</v>
      </c>
      <c r="B24" s="4" t="s">
        <v>65</v>
      </c>
      <c r="C24" s="1" t="s">
        <v>30</v>
      </c>
      <c r="D24" s="1" t="s">
        <v>31</v>
      </c>
      <c r="E24" s="1" t="s">
        <v>32</v>
      </c>
      <c r="F24" s="1" t="s">
        <v>33</v>
      </c>
      <c r="G24" s="1" t="s">
        <v>34</v>
      </c>
      <c r="H24" s="1" t="s">
        <v>35</v>
      </c>
      <c r="I24" s="1" t="s">
        <v>36</v>
      </c>
      <c r="J24" s="1" t="s">
        <v>37</v>
      </c>
      <c r="K24" s="1" t="s">
        <v>38</v>
      </c>
      <c r="L24" s="1" t="s">
        <v>39</v>
      </c>
      <c r="M24" s="1" t="s">
        <v>40</v>
      </c>
      <c r="N24" s="1" t="s">
        <v>41</v>
      </c>
      <c r="O24" s="1" t="s">
        <v>42</v>
      </c>
      <c r="P24" s="25" t="s">
        <v>6</v>
      </c>
      <c r="Q24" s="25"/>
      <c r="R24" s="25"/>
      <c r="S24" s="25"/>
      <c r="T24" s="25"/>
      <c r="U24" s="1">
        <v>1</v>
      </c>
      <c r="V24" s="1">
        <v>1</v>
      </c>
      <c r="W24" s="1">
        <v>0</v>
      </c>
      <c r="X24" s="25" t="s">
        <v>8</v>
      </c>
      <c r="Y24" s="25"/>
      <c r="Z24" s="25"/>
      <c r="AA24" s="25"/>
      <c r="AB24" s="25"/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1</v>
      </c>
      <c r="AI24" s="11">
        <v>1</v>
      </c>
    </row>
    <row r="25" spans="1:36" x14ac:dyDescent="0.25">
      <c r="A25" s="11" t="s">
        <v>66</v>
      </c>
      <c r="B25" s="4" t="s">
        <v>67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39</v>
      </c>
      <c r="M25" s="1" t="s">
        <v>40</v>
      </c>
      <c r="N25" s="1" t="s">
        <v>41</v>
      </c>
      <c r="O25" s="1" t="s">
        <v>42</v>
      </c>
      <c r="P25" s="25" t="s">
        <v>6</v>
      </c>
      <c r="Q25" s="25"/>
      <c r="R25" s="25"/>
      <c r="S25" s="25"/>
      <c r="T25" s="25"/>
      <c r="U25" s="1">
        <v>1</v>
      </c>
      <c r="V25" s="1">
        <v>1</v>
      </c>
      <c r="W25" s="1">
        <v>1</v>
      </c>
      <c r="X25" s="25" t="s">
        <v>8</v>
      </c>
      <c r="Y25" s="25"/>
      <c r="Z25" s="25"/>
      <c r="AA25" s="25"/>
      <c r="AB25" s="25"/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1</v>
      </c>
      <c r="AI25" s="11">
        <v>1</v>
      </c>
    </row>
    <row r="26" spans="1:36" x14ac:dyDescent="0.25">
      <c r="A26" s="11" t="s">
        <v>68</v>
      </c>
      <c r="B26" s="4" t="s">
        <v>69</v>
      </c>
      <c r="C26" s="1" t="s">
        <v>30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6</v>
      </c>
      <c r="Q26" s="25"/>
      <c r="R26" s="25"/>
      <c r="S26" s="25"/>
      <c r="T26" s="25"/>
      <c r="U26" s="1">
        <v>0</v>
      </c>
      <c r="V26" s="1">
        <v>0</v>
      </c>
      <c r="W26" s="1">
        <v>1</v>
      </c>
      <c r="X26" s="25" t="s">
        <v>8</v>
      </c>
      <c r="Y26" s="25"/>
      <c r="Z26" s="25"/>
      <c r="AA26" s="25"/>
      <c r="AB26" s="25"/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1</v>
      </c>
      <c r="AI26" s="11">
        <v>1</v>
      </c>
    </row>
    <row r="27" spans="1:36" x14ac:dyDescent="0.25">
      <c r="A27" s="11" t="s">
        <v>75</v>
      </c>
      <c r="B27" s="4" t="s">
        <v>76</v>
      </c>
      <c r="C27" s="1" t="s">
        <v>30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6</v>
      </c>
      <c r="Q27" s="25"/>
      <c r="R27" s="25"/>
      <c r="S27" s="25"/>
      <c r="T27" s="25"/>
      <c r="U27" s="1">
        <v>1</v>
      </c>
      <c r="V27" s="1">
        <v>0</v>
      </c>
      <c r="W27" s="1">
        <v>1</v>
      </c>
      <c r="X27" s="25" t="s">
        <v>8</v>
      </c>
      <c r="Y27" s="25"/>
      <c r="Z27" s="25"/>
      <c r="AA27" s="25"/>
      <c r="AB27" s="25"/>
      <c r="AC27" s="11">
        <v>0</v>
      </c>
      <c r="AD27" s="11">
        <v>0</v>
      </c>
      <c r="AE27" s="11">
        <v>1</v>
      </c>
      <c r="AF27" s="11">
        <v>0</v>
      </c>
      <c r="AG27" s="11">
        <v>0</v>
      </c>
      <c r="AH27" s="11">
        <v>1</v>
      </c>
      <c r="AI27" s="11">
        <v>1</v>
      </c>
    </row>
    <row r="28" spans="1:36" x14ac:dyDescent="0.25">
      <c r="A28" s="11" t="s">
        <v>77</v>
      </c>
      <c r="B28" s="4" t="s">
        <v>78</v>
      </c>
      <c r="C28" s="1" t="s">
        <v>30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6</v>
      </c>
      <c r="Q28" s="25"/>
      <c r="R28" s="25"/>
      <c r="S28" s="25"/>
      <c r="T28" s="25"/>
      <c r="U28" s="1">
        <v>1</v>
      </c>
      <c r="V28" s="1">
        <v>0</v>
      </c>
      <c r="W28" s="1">
        <v>1</v>
      </c>
      <c r="X28" s="25" t="s">
        <v>8</v>
      </c>
      <c r="Y28" s="25"/>
      <c r="Z28" s="25"/>
      <c r="AA28" s="25"/>
      <c r="AB28" s="25"/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1</v>
      </c>
      <c r="AI28" s="11">
        <v>1</v>
      </c>
    </row>
    <row r="29" spans="1:36" x14ac:dyDescent="0.25">
      <c r="A29" s="1" t="s">
        <v>79</v>
      </c>
      <c r="B29" s="4" t="s">
        <v>80</v>
      </c>
      <c r="C29" s="1" t="s">
        <v>30</v>
      </c>
      <c r="D29" s="25" t="s">
        <v>81</v>
      </c>
      <c r="E29" s="25"/>
      <c r="F29" s="25"/>
      <c r="G29" s="25"/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  <c r="O29" s="1" t="s">
        <v>89</v>
      </c>
      <c r="P29" s="25" t="s">
        <v>6</v>
      </c>
      <c r="Q29" s="25"/>
      <c r="R29" s="25"/>
      <c r="S29" s="25"/>
      <c r="T29" s="25"/>
      <c r="U29" s="1">
        <v>0</v>
      </c>
      <c r="V29" s="1">
        <v>0</v>
      </c>
      <c r="W29" s="1">
        <v>0</v>
      </c>
      <c r="X29" s="25" t="s">
        <v>8</v>
      </c>
      <c r="Y29" s="25"/>
      <c r="Z29" s="25"/>
      <c r="AA29" s="25"/>
      <c r="AB29" s="25"/>
      <c r="AC29" s="1">
        <v>0</v>
      </c>
      <c r="AD29" s="1">
        <v>0</v>
      </c>
      <c r="AE29" s="1">
        <v>0</v>
      </c>
      <c r="AF29" s="1">
        <v>1</v>
      </c>
      <c r="AG29" s="1">
        <v>1</v>
      </c>
      <c r="AH29" s="1">
        <v>1</v>
      </c>
      <c r="AI29" s="1">
        <v>1</v>
      </c>
      <c r="AJ29" t="s">
        <v>90</v>
      </c>
    </row>
    <row r="30" spans="1:36" x14ac:dyDescent="0.25">
      <c r="A30" s="12" t="s">
        <v>91</v>
      </c>
      <c r="B30" s="4" t="s">
        <v>92</v>
      </c>
      <c r="C30" s="1" t="s">
        <v>30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2">
        <v>1</v>
      </c>
      <c r="AD30" s="12">
        <v>1</v>
      </c>
      <c r="AE30" s="12">
        <v>1</v>
      </c>
      <c r="AF30" s="12">
        <v>0</v>
      </c>
      <c r="AG30" s="12">
        <v>0</v>
      </c>
      <c r="AH30" s="12">
        <v>1</v>
      </c>
      <c r="AI30" s="12">
        <v>1</v>
      </c>
    </row>
    <row r="31" spans="1:36" x14ac:dyDescent="0.25">
      <c r="A31" s="12" t="s">
        <v>93</v>
      </c>
      <c r="B31" s="4" t="s">
        <v>94</v>
      </c>
      <c r="C31" s="1" t="s">
        <v>30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2">
        <v>1</v>
      </c>
      <c r="AD31" s="12">
        <v>1</v>
      </c>
      <c r="AE31" s="12">
        <v>1</v>
      </c>
      <c r="AF31" s="12">
        <v>0</v>
      </c>
      <c r="AG31" s="12">
        <v>0</v>
      </c>
      <c r="AH31" s="12">
        <v>1</v>
      </c>
      <c r="AI31" s="12">
        <v>1</v>
      </c>
    </row>
    <row r="32" spans="1:36" ht="13" x14ac:dyDescent="0.3">
      <c r="A32" s="5" t="s">
        <v>95</v>
      </c>
      <c r="B32" s="6"/>
      <c r="C32" s="1"/>
      <c r="D32" s="1" t="s">
        <v>31</v>
      </c>
      <c r="E32" s="1" t="s">
        <v>32</v>
      </c>
      <c r="F32" s="1" t="s">
        <v>33</v>
      </c>
      <c r="G32" s="1" t="s">
        <v>34</v>
      </c>
      <c r="H32" s="1" t="s">
        <v>35</v>
      </c>
      <c r="I32" s="1" t="s">
        <v>36</v>
      </c>
      <c r="J32" s="1" t="s">
        <v>37</v>
      </c>
      <c r="K32" s="25" t="s">
        <v>5</v>
      </c>
      <c r="L32" s="25"/>
      <c r="M32" s="25"/>
      <c r="N32" s="25"/>
      <c r="O32" s="25"/>
      <c r="P32" s="25" t="s">
        <v>6</v>
      </c>
      <c r="Q32" s="25"/>
      <c r="R32" s="25"/>
      <c r="S32" s="25"/>
      <c r="T32" s="25"/>
      <c r="U32" s="25" t="s">
        <v>7</v>
      </c>
      <c r="V32" s="25"/>
      <c r="W32" s="25"/>
      <c r="X32" s="1" t="s">
        <v>38</v>
      </c>
      <c r="Y32" s="1" t="s">
        <v>39</v>
      </c>
      <c r="Z32" s="1" t="s">
        <v>40</v>
      </c>
      <c r="AA32" s="1" t="s">
        <v>41</v>
      </c>
      <c r="AB32" s="1" t="s">
        <v>42</v>
      </c>
      <c r="AC32" s="25" t="s">
        <v>9</v>
      </c>
      <c r="AD32" s="25"/>
      <c r="AE32" s="25"/>
      <c r="AF32" s="25"/>
      <c r="AG32" s="25"/>
      <c r="AH32" s="25"/>
      <c r="AI32" s="25"/>
    </row>
    <row r="33" spans="1:35" x14ac:dyDescent="0.25">
      <c r="A33" s="13" t="s">
        <v>96</v>
      </c>
      <c r="B33" s="4" t="s">
        <v>97</v>
      </c>
      <c r="C33" s="1" t="s">
        <v>95</v>
      </c>
      <c r="D33" s="1" t="s">
        <v>31</v>
      </c>
      <c r="E33" s="1" t="s">
        <v>32</v>
      </c>
      <c r="F33" s="1" t="s">
        <v>33</v>
      </c>
      <c r="G33" s="1" t="s">
        <v>34</v>
      </c>
      <c r="H33" s="1" t="s">
        <v>35</v>
      </c>
      <c r="I33" s="1" t="s">
        <v>36</v>
      </c>
      <c r="J33" s="1" t="s">
        <v>37</v>
      </c>
      <c r="K33" s="25" t="s">
        <v>5</v>
      </c>
      <c r="L33" s="25"/>
      <c r="M33" s="25"/>
      <c r="N33" s="25"/>
      <c r="O33" s="25"/>
      <c r="P33" s="25" t="s">
        <v>6</v>
      </c>
      <c r="Q33" s="25"/>
      <c r="R33" s="25"/>
      <c r="S33" s="25"/>
      <c r="T33" s="25"/>
      <c r="U33" s="1">
        <v>0</v>
      </c>
      <c r="V33" s="1">
        <v>0</v>
      </c>
      <c r="W33" s="1">
        <v>0</v>
      </c>
      <c r="X33" s="1" t="s">
        <v>38</v>
      </c>
      <c r="Y33" s="1" t="s">
        <v>39</v>
      </c>
      <c r="Z33" s="1" t="s">
        <v>40</v>
      </c>
      <c r="AA33" s="1" t="s">
        <v>41</v>
      </c>
      <c r="AB33" s="1" t="s">
        <v>42</v>
      </c>
      <c r="AC33" s="13">
        <v>0</v>
      </c>
      <c r="AD33" s="13">
        <v>1</v>
      </c>
      <c r="AE33" s="13">
        <v>0</v>
      </c>
      <c r="AF33" s="13">
        <v>0</v>
      </c>
      <c r="AG33" s="13">
        <v>0</v>
      </c>
      <c r="AH33" s="13">
        <v>1</v>
      </c>
      <c r="AI33" s="13">
        <v>1</v>
      </c>
    </row>
    <row r="34" spans="1:35" x14ac:dyDescent="0.25">
      <c r="A34" s="13" t="s">
        <v>98</v>
      </c>
      <c r="B34" s="4" t="s">
        <v>99</v>
      </c>
      <c r="C34" s="1" t="s">
        <v>95</v>
      </c>
      <c r="D34" s="1" t="s">
        <v>31</v>
      </c>
      <c r="E34" s="1" t="s">
        <v>32</v>
      </c>
      <c r="F34" s="1" t="s">
        <v>33</v>
      </c>
      <c r="G34" s="1" t="s">
        <v>34</v>
      </c>
      <c r="H34" s="1" t="s">
        <v>35</v>
      </c>
      <c r="I34" s="1" t="s">
        <v>36</v>
      </c>
      <c r="J34" s="1" t="s">
        <v>37</v>
      </c>
      <c r="K34" s="25" t="s">
        <v>5</v>
      </c>
      <c r="L34" s="25"/>
      <c r="M34" s="25"/>
      <c r="N34" s="25"/>
      <c r="O34" s="25"/>
      <c r="P34" s="25" t="s">
        <v>6</v>
      </c>
      <c r="Q34" s="25"/>
      <c r="R34" s="25"/>
      <c r="S34" s="25"/>
      <c r="T34" s="25"/>
      <c r="U34" s="1">
        <v>0</v>
      </c>
      <c r="V34" s="1">
        <v>0</v>
      </c>
      <c r="W34" s="1">
        <v>1</v>
      </c>
      <c r="X34" s="1" t="s">
        <v>38</v>
      </c>
      <c r="Y34" s="1" t="s">
        <v>39</v>
      </c>
      <c r="Z34" s="1" t="s">
        <v>40</v>
      </c>
      <c r="AA34" s="1" t="s">
        <v>41</v>
      </c>
      <c r="AB34" s="1" t="s">
        <v>42</v>
      </c>
      <c r="AC34" s="13">
        <v>0</v>
      </c>
      <c r="AD34" s="13">
        <v>1</v>
      </c>
      <c r="AE34" s="13">
        <v>0</v>
      </c>
      <c r="AF34" s="13">
        <v>0</v>
      </c>
      <c r="AG34" s="13">
        <v>0</v>
      </c>
      <c r="AH34" s="13">
        <v>1</v>
      </c>
      <c r="AI34" s="13">
        <v>1</v>
      </c>
    </row>
    <row r="35" spans="1:35" x14ac:dyDescent="0.25">
      <c r="A35" s="13" t="s">
        <v>100</v>
      </c>
      <c r="B35" s="4" t="s">
        <v>101</v>
      </c>
      <c r="C35" s="1" t="s">
        <v>95</v>
      </c>
      <c r="D35" s="1" t="s">
        <v>31</v>
      </c>
      <c r="E35" s="1" t="s">
        <v>32</v>
      </c>
      <c r="F35" s="1" t="s">
        <v>33</v>
      </c>
      <c r="G35" s="1" t="s">
        <v>34</v>
      </c>
      <c r="H35" s="1" t="s">
        <v>35</v>
      </c>
      <c r="I35" s="1" t="s">
        <v>36</v>
      </c>
      <c r="J35" s="1" t="s">
        <v>37</v>
      </c>
      <c r="K35" s="25" t="s">
        <v>5</v>
      </c>
      <c r="L35" s="25"/>
      <c r="M35" s="25"/>
      <c r="N35" s="25"/>
      <c r="O35" s="25"/>
      <c r="P35" s="25" t="s">
        <v>6</v>
      </c>
      <c r="Q35" s="25"/>
      <c r="R35" s="25"/>
      <c r="S35" s="25"/>
      <c r="T35" s="25"/>
      <c r="U35" s="1">
        <v>0</v>
      </c>
      <c r="V35" s="1">
        <v>1</v>
      </c>
      <c r="W35" s="1">
        <v>0</v>
      </c>
      <c r="X35" s="1" t="s">
        <v>38</v>
      </c>
      <c r="Y35" s="1" t="s">
        <v>39</v>
      </c>
      <c r="Z35" s="1" t="s">
        <v>40</v>
      </c>
      <c r="AA35" s="1" t="s">
        <v>41</v>
      </c>
      <c r="AB35" s="1" t="s">
        <v>42</v>
      </c>
      <c r="AC35" s="13">
        <v>0</v>
      </c>
      <c r="AD35" s="13">
        <v>1</v>
      </c>
      <c r="AE35" s="13">
        <v>0</v>
      </c>
      <c r="AF35" s="13">
        <v>0</v>
      </c>
      <c r="AG35" s="13">
        <v>0</v>
      </c>
      <c r="AH35" s="13">
        <v>1</v>
      </c>
      <c r="AI35" s="13">
        <v>1</v>
      </c>
    </row>
    <row r="36" spans="1:35" ht="13" x14ac:dyDescent="0.3">
      <c r="A36" s="5" t="s">
        <v>102</v>
      </c>
      <c r="B36" s="6"/>
      <c r="C36" s="1"/>
      <c r="D36" s="1" t="s">
        <v>103</v>
      </c>
      <c r="E36" s="1" t="s">
        <v>32</v>
      </c>
      <c r="F36" s="1" t="s">
        <v>33</v>
      </c>
      <c r="G36" s="1" t="s">
        <v>34</v>
      </c>
      <c r="H36" s="1" t="s">
        <v>35</v>
      </c>
      <c r="I36" s="1" t="s">
        <v>36</v>
      </c>
      <c r="J36" s="1" t="s">
        <v>37</v>
      </c>
      <c r="K36" s="25" t="s">
        <v>5</v>
      </c>
      <c r="L36" s="25"/>
      <c r="M36" s="25"/>
      <c r="N36" s="25"/>
      <c r="O36" s="25"/>
      <c r="P36" s="25" t="s">
        <v>6</v>
      </c>
      <c r="Q36" s="25"/>
      <c r="R36" s="25"/>
      <c r="S36" s="25"/>
      <c r="T36" s="25"/>
      <c r="U36" s="25" t="s">
        <v>7</v>
      </c>
      <c r="V36" s="25"/>
      <c r="W36" s="25"/>
      <c r="X36" s="1" t="s">
        <v>38</v>
      </c>
      <c r="Y36" s="1" t="s">
        <v>39</v>
      </c>
      <c r="Z36" s="1" t="s">
        <v>40</v>
      </c>
      <c r="AA36" s="1" t="s">
        <v>41</v>
      </c>
      <c r="AB36" s="1" t="s">
        <v>31</v>
      </c>
      <c r="AC36" s="25" t="s">
        <v>9</v>
      </c>
      <c r="AD36" s="25"/>
      <c r="AE36" s="25"/>
      <c r="AF36" s="25"/>
      <c r="AG36" s="25"/>
      <c r="AH36" s="25"/>
      <c r="AI36" s="25"/>
    </row>
    <row r="37" spans="1:35" ht="25" x14ac:dyDescent="0.25">
      <c r="A37" s="1" t="s">
        <v>104</v>
      </c>
      <c r="B37" s="8" t="s">
        <v>105</v>
      </c>
      <c r="C37" s="1" t="s">
        <v>102</v>
      </c>
      <c r="D37" s="1" t="s">
        <v>103</v>
      </c>
      <c r="E37" s="1" t="s">
        <v>32</v>
      </c>
      <c r="F37" s="1" t="s">
        <v>33</v>
      </c>
      <c r="G37" s="1" t="s">
        <v>34</v>
      </c>
      <c r="H37" s="1" t="s">
        <v>35</v>
      </c>
      <c r="I37" s="1" t="s">
        <v>36</v>
      </c>
      <c r="J37" s="1" t="s">
        <v>37</v>
      </c>
      <c r="K37" s="25" t="s">
        <v>5</v>
      </c>
      <c r="L37" s="25"/>
      <c r="M37" s="25"/>
      <c r="N37" s="25"/>
      <c r="O37" s="25"/>
      <c r="P37" s="25" t="s">
        <v>6</v>
      </c>
      <c r="Q37" s="25"/>
      <c r="R37" s="25"/>
      <c r="S37" s="25"/>
      <c r="T37" s="25"/>
      <c r="U37" s="1">
        <v>0</v>
      </c>
      <c r="V37" s="1">
        <v>0</v>
      </c>
      <c r="W37" s="1">
        <v>0</v>
      </c>
      <c r="X37" s="1" t="s">
        <v>38</v>
      </c>
      <c r="Y37" s="1" t="s">
        <v>39</v>
      </c>
      <c r="Z37" s="1" t="s">
        <v>40</v>
      </c>
      <c r="AA37" s="1" t="s">
        <v>41</v>
      </c>
      <c r="AB37" s="1" t="s">
        <v>31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1</v>
      </c>
      <c r="AI37" s="1">
        <v>1</v>
      </c>
    </row>
    <row r="38" spans="1:35" ht="25" x14ac:dyDescent="0.25">
      <c r="A38" s="1" t="s">
        <v>106</v>
      </c>
      <c r="B38" s="8" t="s">
        <v>107</v>
      </c>
      <c r="C38" s="1" t="s">
        <v>102</v>
      </c>
      <c r="D38" s="1" t="s">
        <v>103</v>
      </c>
      <c r="E38" s="1" t="s">
        <v>32</v>
      </c>
      <c r="F38" s="1" t="s">
        <v>33</v>
      </c>
      <c r="G38" s="1" t="s">
        <v>34</v>
      </c>
      <c r="H38" s="1" t="s">
        <v>35</v>
      </c>
      <c r="I38" s="1" t="s">
        <v>36</v>
      </c>
      <c r="J38" s="1" t="s">
        <v>37</v>
      </c>
      <c r="K38" s="25" t="s">
        <v>5</v>
      </c>
      <c r="L38" s="25"/>
      <c r="M38" s="25"/>
      <c r="N38" s="25"/>
      <c r="O38" s="25"/>
      <c r="P38" s="25" t="s">
        <v>6</v>
      </c>
      <c r="Q38" s="25"/>
      <c r="R38" s="25"/>
      <c r="S38" s="25"/>
      <c r="T38" s="25"/>
      <c r="U38" s="1">
        <v>0</v>
      </c>
      <c r="V38" s="1">
        <v>0</v>
      </c>
      <c r="W38" s="1">
        <v>1</v>
      </c>
      <c r="X38" s="1" t="s">
        <v>38</v>
      </c>
      <c r="Y38" s="1" t="s">
        <v>39</v>
      </c>
      <c r="Z38" s="1" t="s">
        <v>40</v>
      </c>
      <c r="AA38" s="1" t="s">
        <v>41</v>
      </c>
      <c r="AB38" s="1" t="s">
        <v>31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1</v>
      </c>
      <c r="AI38" s="1">
        <v>1</v>
      </c>
    </row>
    <row r="39" spans="1:35" ht="25" x14ac:dyDescent="0.25">
      <c r="A39" s="1" t="s">
        <v>108</v>
      </c>
      <c r="B39" s="8" t="s">
        <v>109</v>
      </c>
      <c r="C39" s="1" t="s">
        <v>102</v>
      </c>
      <c r="D39" s="1" t="s">
        <v>103</v>
      </c>
      <c r="E39" s="1" t="s">
        <v>32</v>
      </c>
      <c r="F39" s="1" t="s">
        <v>33</v>
      </c>
      <c r="G39" s="1" t="s">
        <v>34</v>
      </c>
      <c r="H39" s="1" t="s">
        <v>35</v>
      </c>
      <c r="I39" s="1" t="s">
        <v>36</v>
      </c>
      <c r="J39" s="1" t="s">
        <v>37</v>
      </c>
      <c r="K39" s="25" t="s">
        <v>5</v>
      </c>
      <c r="L39" s="25"/>
      <c r="M39" s="25"/>
      <c r="N39" s="25"/>
      <c r="O39" s="25"/>
      <c r="P39" s="25" t="s">
        <v>6</v>
      </c>
      <c r="Q39" s="25"/>
      <c r="R39" s="25"/>
      <c r="S39" s="25"/>
      <c r="T39" s="25"/>
      <c r="U39" s="1">
        <v>1</v>
      </c>
      <c r="V39" s="1">
        <v>0</v>
      </c>
      <c r="W39" s="1">
        <v>0</v>
      </c>
      <c r="X39" s="1" t="s">
        <v>38</v>
      </c>
      <c r="Y39" s="1" t="s">
        <v>39</v>
      </c>
      <c r="Z39" s="1" t="s">
        <v>40</v>
      </c>
      <c r="AA39" s="1" t="s">
        <v>41</v>
      </c>
      <c r="AB39" s="1" t="s">
        <v>31</v>
      </c>
      <c r="AC39" s="1">
        <v>1</v>
      </c>
      <c r="AD39" s="1">
        <v>1</v>
      </c>
      <c r="AE39" s="1">
        <v>0</v>
      </c>
      <c r="AF39" s="1">
        <v>0</v>
      </c>
      <c r="AG39" s="1">
        <v>0</v>
      </c>
      <c r="AH39" s="1">
        <v>1</v>
      </c>
      <c r="AI39" s="1">
        <v>1</v>
      </c>
    </row>
    <row r="40" spans="1:35" ht="25" x14ac:dyDescent="0.25">
      <c r="A40" s="1" t="s">
        <v>110</v>
      </c>
      <c r="B40" s="8" t="s">
        <v>111</v>
      </c>
      <c r="C40" s="1" t="s">
        <v>102</v>
      </c>
      <c r="D40" s="1" t="s">
        <v>103</v>
      </c>
      <c r="E40" s="1" t="s">
        <v>32</v>
      </c>
      <c r="F40" s="1" t="s">
        <v>33</v>
      </c>
      <c r="G40" s="1" t="s">
        <v>34</v>
      </c>
      <c r="H40" s="1" t="s">
        <v>35</v>
      </c>
      <c r="I40" s="1" t="s">
        <v>36</v>
      </c>
      <c r="J40" s="1" t="s">
        <v>37</v>
      </c>
      <c r="K40" s="25" t="s">
        <v>5</v>
      </c>
      <c r="L40" s="25"/>
      <c r="M40" s="25"/>
      <c r="N40" s="25"/>
      <c r="O40" s="25"/>
      <c r="P40" s="25" t="s">
        <v>6</v>
      </c>
      <c r="Q40" s="25"/>
      <c r="R40" s="25"/>
      <c r="S40" s="25"/>
      <c r="T40" s="25"/>
      <c r="U40" s="1">
        <v>1</v>
      </c>
      <c r="V40" s="1">
        <v>0</v>
      </c>
      <c r="W40" s="1">
        <v>1</v>
      </c>
      <c r="X40" s="1" t="s">
        <v>38</v>
      </c>
      <c r="Y40" s="1" t="s">
        <v>39</v>
      </c>
      <c r="Z40" s="1" t="s">
        <v>40</v>
      </c>
      <c r="AA40" s="1" t="s">
        <v>41</v>
      </c>
      <c r="AB40" s="1" t="s">
        <v>31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1</v>
      </c>
      <c r="AI40" s="1">
        <v>1</v>
      </c>
    </row>
    <row r="41" spans="1:35" ht="25" x14ac:dyDescent="0.25">
      <c r="A41" s="1" t="s">
        <v>112</v>
      </c>
      <c r="B41" s="8" t="s">
        <v>113</v>
      </c>
      <c r="C41" s="1" t="s">
        <v>102</v>
      </c>
      <c r="D41" s="1" t="s">
        <v>103</v>
      </c>
      <c r="E41" s="1" t="s">
        <v>32</v>
      </c>
      <c r="F41" s="1" t="s">
        <v>33</v>
      </c>
      <c r="G41" s="1" t="s">
        <v>34</v>
      </c>
      <c r="H41" s="1" t="s">
        <v>35</v>
      </c>
      <c r="I41" s="1" t="s">
        <v>36</v>
      </c>
      <c r="J41" s="1" t="s">
        <v>37</v>
      </c>
      <c r="K41" s="25" t="s">
        <v>5</v>
      </c>
      <c r="L41" s="25"/>
      <c r="M41" s="25"/>
      <c r="N41" s="25"/>
      <c r="O41" s="25"/>
      <c r="P41" s="25" t="s">
        <v>6</v>
      </c>
      <c r="Q41" s="25"/>
      <c r="R41" s="25"/>
      <c r="S41" s="25"/>
      <c r="T41" s="25"/>
      <c r="U41" s="1">
        <v>1</v>
      </c>
      <c r="V41" s="1">
        <v>1</v>
      </c>
      <c r="W41" s="1">
        <v>0</v>
      </c>
      <c r="X41" s="1" t="s">
        <v>38</v>
      </c>
      <c r="Y41" s="1" t="s">
        <v>39</v>
      </c>
      <c r="Z41" s="1" t="s">
        <v>40</v>
      </c>
      <c r="AA41" s="1" t="s">
        <v>41</v>
      </c>
      <c r="AB41" s="1" t="s">
        <v>31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1</v>
      </c>
      <c r="AI41" s="1">
        <v>1</v>
      </c>
    </row>
    <row r="42" spans="1:35" ht="25" x14ac:dyDescent="0.25">
      <c r="A42" s="1" t="s">
        <v>114</v>
      </c>
      <c r="B42" s="8" t="s">
        <v>115</v>
      </c>
      <c r="C42" s="1" t="s">
        <v>102</v>
      </c>
      <c r="D42" s="1" t="s">
        <v>103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37</v>
      </c>
      <c r="K42" s="25" t="s">
        <v>5</v>
      </c>
      <c r="L42" s="25"/>
      <c r="M42" s="25"/>
      <c r="N42" s="25"/>
      <c r="O42" s="25"/>
      <c r="P42" s="25" t="s">
        <v>6</v>
      </c>
      <c r="Q42" s="25"/>
      <c r="R42" s="25"/>
      <c r="S42" s="25"/>
      <c r="T42" s="25"/>
      <c r="U42" s="1">
        <v>1</v>
      </c>
      <c r="V42" s="1">
        <v>1</v>
      </c>
      <c r="W42" s="1">
        <v>1</v>
      </c>
      <c r="X42" s="1" t="s">
        <v>38</v>
      </c>
      <c r="Y42" s="1" t="s">
        <v>39</v>
      </c>
      <c r="Z42" s="1" t="s">
        <v>40</v>
      </c>
      <c r="AA42" s="1" t="s">
        <v>41</v>
      </c>
      <c r="AB42" s="1" t="s">
        <v>31</v>
      </c>
      <c r="AC42" s="1">
        <v>1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1</v>
      </c>
    </row>
    <row r="43" spans="1:35" ht="13" x14ac:dyDescent="0.3">
      <c r="A43" s="5" t="s">
        <v>116</v>
      </c>
      <c r="B43" s="6"/>
      <c r="C43" s="1"/>
      <c r="D43" s="1" t="s">
        <v>117</v>
      </c>
      <c r="E43" s="1" t="s">
        <v>118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126</v>
      </c>
      <c r="N43" s="1" t="s">
        <v>127</v>
      </c>
      <c r="O43" s="1" t="s">
        <v>128</v>
      </c>
      <c r="P43" s="1" t="s">
        <v>129</v>
      </c>
      <c r="Q43" s="1" t="s">
        <v>130</v>
      </c>
      <c r="R43" s="1" t="s">
        <v>131</v>
      </c>
      <c r="S43" s="1" t="s">
        <v>132</v>
      </c>
      <c r="T43" s="1" t="s">
        <v>133</v>
      </c>
      <c r="U43" s="1" t="s">
        <v>134</v>
      </c>
      <c r="V43" s="1" t="s">
        <v>135</v>
      </c>
      <c r="W43" s="1" t="s">
        <v>103</v>
      </c>
      <c r="X43" s="25" t="s">
        <v>8</v>
      </c>
      <c r="Y43" s="25"/>
      <c r="Z43" s="25"/>
      <c r="AA43" s="25"/>
      <c r="AB43" s="25"/>
      <c r="AC43" s="25" t="s">
        <v>9</v>
      </c>
      <c r="AD43" s="25"/>
      <c r="AE43" s="25"/>
      <c r="AF43" s="25"/>
      <c r="AG43" s="25"/>
      <c r="AH43" s="25"/>
      <c r="AI43" s="25"/>
    </row>
    <row r="44" spans="1:35" x14ac:dyDescent="0.25">
      <c r="A44" s="14" t="s">
        <v>136</v>
      </c>
      <c r="B44" s="4" t="s">
        <v>137</v>
      </c>
      <c r="C44" s="1" t="s">
        <v>116</v>
      </c>
      <c r="D44" s="1" t="s">
        <v>117</v>
      </c>
      <c r="E44" s="1" t="s">
        <v>118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126</v>
      </c>
      <c r="N44" s="1" t="s">
        <v>127</v>
      </c>
      <c r="O44" s="1" t="s">
        <v>128</v>
      </c>
      <c r="P44" s="1" t="s">
        <v>129</v>
      </c>
      <c r="Q44" s="1" t="s">
        <v>130</v>
      </c>
      <c r="R44" s="1" t="s">
        <v>131</v>
      </c>
      <c r="S44" s="1" t="s">
        <v>132</v>
      </c>
      <c r="T44" s="1" t="s">
        <v>133</v>
      </c>
      <c r="U44" s="1" t="s">
        <v>134</v>
      </c>
      <c r="V44" s="1" t="s">
        <v>135</v>
      </c>
      <c r="W44" s="1" t="s">
        <v>103</v>
      </c>
      <c r="X44" s="25" t="s">
        <v>8</v>
      </c>
      <c r="Y44" s="25"/>
      <c r="Z44" s="25"/>
      <c r="AA44" s="25"/>
      <c r="AB44" s="25"/>
      <c r="AC44" s="14">
        <v>0</v>
      </c>
      <c r="AD44" s="14">
        <v>1</v>
      </c>
      <c r="AE44" s="14">
        <v>1</v>
      </c>
      <c r="AF44" s="14">
        <v>0</v>
      </c>
      <c r="AG44" s="14">
        <v>1</v>
      </c>
      <c r="AH44" s="14">
        <v>1</v>
      </c>
      <c r="AI44" s="14">
        <v>1</v>
      </c>
    </row>
    <row r="45" spans="1:35" x14ac:dyDescent="0.25">
      <c r="A45" s="15" t="s">
        <v>138</v>
      </c>
      <c r="B45" s="4" t="s">
        <v>139</v>
      </c>
      <c r="C45" s="1" t="s">
        <v>116</v>
      </c>
      <c r="D45" s="1" t="s">
        <v>117</v>
      </c>
      <c r="E45" s="1" t="s">
        <v>118</v>
      </c>
      <c r="F45" s="1" t="s">
        <v>119</v>
      </c>
      <c r="G45" s="1" t="s">
        <v>120</v>
      </c>
      <c r="H45" s="1" t="s">
        <v>121</v>
      </c>
      <c r="I45" s="1" t="s">
        <v>122</v>
      </c>
      <c r="J45" s="1" t="s">
        <v>123</v>
      </c>
      <c r="K45" s="1" t="s">
        <v>124</v>
      </c>
      <c r="L45" s="1" t="s">
        <v>125</v>
      </c>
      <c r="M45" s="1" t="s">
        <v>126</v>
      </c>
      <c r="N45" s="1" t="s">
        <v>127</v>
      </c>
      <c r="O45" s="1" t="s">
        <v>128</v>
      </c>
      <c r="P45" s="1" t="s">
        <v>129</v>
      </c>
      <c r="Q45" s="1" t="s">
        <v>130</v>
      </c>
      <c r="R45" s="1" t="s">
        <v>131</v>
      </c>
      <c r="S45" s="1" t="s">
        <v>132</v>
      </c>
      <c r="T45" s="1" t="s">
        <v>133</v>
      </c>
      <c r="U45" s="1" t="s">
        <v>134</v>
      </c>
      <c r="V45" s="1" t="s">
        <v>135</v>
      </c>
      <c r="W45" s="1" t="s">
        <v>103</v>
      </c>
      <c r="X45" s="25" t="s">
        <v>8</v>
      </c>
      <c r="Y45" s="25"/>
      <c r="Z45" s="25"/>
      <c r="AA45" s="25"/>
      <c r="AB45" s="25"/>
      <c r="AC45" s="15">
        <v>0</v>
      </c>
      <c r="AD45" s="15">
        <v>0</v>
      </c>
      <c r="AE45" s="15">
        <v>1</v>
      </c>
      <c r="AF45" s="15">
        <v>0</v>
      </c>
      <c r="AG45" s="15">
        <v>1</v>
      </c>
      <c r="AH45" s="15">
        <v>1</v>
      </c>
      <c r="AI45" s="15">
        <v>1</v>
      </c>
    </row>
    <row r="46" spans="1:35" ht="13" x14ac:dyDescent="0.3">
      <c r="A46" s="5" t="s">
        <v>140</v>
      </c>
      <c r="B46" s="6"/>
      <c r="C46" s="1"/>
      <c r="D46" s="1" t="s">
        <v>128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40</v>
      </c>
      <c r="N46" s="1" t="s">
        <v>41</v>
      </c>
      <c r="O46" s="1" t="s">
        <v>31</v>
      </c>
      <c r="P46" s="1" t="s">
        <v>129</v>
      </c>
      <c r="Q46" s="1" t="s">
        <v>130</v>
      </c>
      <c r="R46" s="1" t="s">
        <v>131</v>
      </c>
      <c r="S46" s="1" t="s">
        <v>132</v>
      </c>
      <c r="T46" s="1" t="s">
        <v>133</v>
      </c>
      <c r="U46" s="1" t="s">
        <v>134</v>
      </c>
      <c r="V46" s="1" t="s">
        <v>135</v>
      </c>
      <c r="W46" s="1" t="s">
        <v>103</v>
      </c>
      <c r="X46" s="25" t="s">
        <v>8</v>
      </c>
      <c r="Y46" s="25"/>
      <c r="Z46" s="25"/>
      <c r="AA46" s="25"/>
      <c r="AB46" s="25"/>
      <c r="AC46" s="25" t="s">
        <v>9</v>
      </c>
      <c r="AD46" s="25"/>
      <c r="AE46" s="25"/>
      <c r="AF46" s="25"/>
      <c r="AG46" s="25"/>
      <c r="AH46" s="25"/>
      <c r="AI46" s="25"/>
    </row>
    <row r="47" spans="1:35" ht="25" x14ac:dyDescent="0.25">
      <c r="A47" s="16" t="s">
        <v>141</v>
      </c>
      <c r="B47" s="8" t="s">
        <v>142</v>
      </c>
      <c r="C47" s="1" t="s">
        <v>140</v>
      </c>
      <c r="D47" s="1" t="s">
        <v>128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39</v>
      </c>
      <c r="M47" s="1" t="s">
        <v>40</v>
      </c>
      <c r="N47" s="1" t="s">
        <v>41</v>
      </c>
      <c r="O47" s="1" t="s">
        <v>31</v>
      </c>
      <c r="P47" s="1" t="s">
        <v>129</v>
      </c>
      <c r="Q47" s="1" t="s">
        <v>130</v>
      </c>
      <c r="R47" s="1" t="s">
        <v>131</v>
      </c>
      <c r="S47" s="1" t="s">
        <v>132</v>
      </c>
      <c r="T47" s="1" t="s">
        <v>133</v>
      </c>
      <c r="U47" s="1" t="s">
        <v>134</v>
      </c>
      <c r="V47" s="1" t="s">
        <v>135</v>
      </c>
      <c r="W47" s="1" t="s">
        <v>103</v>
      </c>
      <c r="X47" s="25" t="s">
        <v>8</v>
      </c>
      <c r="Y47" s="25"/>
      <c r="Z47" s="25"/>
      <c r="AA47" s="25"/>
      <c r="AB47" s="25"/>
      <c r="AC47" s="16">
        <v>1</v>
      </c>
      <c r="AD47" s="16">
        <v>1</v>
      </c>
      <c r="AE47" s="16">
        <v>0</v>
      </c>
      <c r="AF47" s="16">
        <v>1</v>
      </c>
      <c r="AG47" s="16">
        <v>1</v>
      </c>
      <c r="AH47" s="16">
        <v>1</v>
      </c>
      <c r="AI47" s="16">
        <v>1</v>
      </c>
    </row>
    <row r="48" spans="1:35" x14ac:dyDescent="0.25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4:35" x14ac:dyDescent="0.25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4:35" x14ac:dyDescent="0.25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4:35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4:35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4:35" x14ac:dyDescent="0.25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4:35" x14ac:dyDescent="0.2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4:35" x14ac:dyDescent="0.25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4:35" x14ac:dyDescent="0.25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4:35" x14ac:dyDescent="0.25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4:35" x14ac:dyDescent="0.25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4:35" x14ac:dyDescent="0.25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4:35" x14ac:dyDescent="0.25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4:35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4:35" x14ac:dyDescent="0.25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4:35" x14ac:dyDescent="0.25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4:35" x14ac:dyDescent="0.25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4:35" x14ac:dyDescent="0.25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4:35" x14ac:dyDescent="0.25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4:35" x14ac:dyDescent="0.25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4:35" x14ac:dyDescent="0.25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4:35" x14ac:dyDescent="0.25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4:35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4:35" x14ac:dyDescent="0.25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4:35" x14ac:dyDescent="0.2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4:35" x14ac:dyDescent="0.2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4:35" x14ac:dyDescent="0.25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4:35" x14ac:dyDescent="0.25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4:35" x14ac:dyDescent="0.25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4:35" x14ac:dyDescent="0.25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4:35" x14ac:dyDescent="0.25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</sheetData>
  <mergeCells count="109">
    <mergeCell ref="D2:J2"/>
    <mergeCell ref="K2:O2"/>
    <mergeCell ref="P2:T2"/>
    <mergeCell ref="U2:W2"/>
    <mergeCell ref="X2:AB2"/>
    <mergeCell ref="AC2:AI2"/>
    <mergeCell ref="K3:O3"/>
    <mergeCell ref="P3:T3"/>
    <mergeCell ref="X3:AB3"/>
    <mergeCell ref="K4:O4"/>
    <mergeCell ref="P4:T4"/>
    <mergeCell ref="X4:AB4"/>
    <mergeCell ref="K5:O5"/>
    <mergeCell ref="P5:T5"/>
    <mergeCell ref="X5:AB5"/>
    <mergeCell ref="K6:O6"/>
    <mergeCell ref="P6:T6"/>
    <mergeCell ref="X6:AB6"/>
    <mergeCell ref="K7:O7"/>
    <mergeCell ref="P7:T7"/>
    <mergeCell ref="X7:AB7"/>
    <mergeCell ref="K8:O8"/>
    <mergeCell ref="P8:T8"/>
    <mergeCell ref="X8:AB8"/>
    <mergeCell ref="K9:O9"/>
    <mergeCell ref="P9:T9"/>
    <mergeCell ref="X9:AB9"/>
    <mergeCell ref="K10:O10"/>
    <mergeCell ref="P10:T10"/>
    <mergeCell ref="X10:AB10"/>
    <mergeCell ref="K11:O11"/>
    <mergeCell ref="P11:T11"/>
    <mergeCell ref="X11:AB11"/>
    <mergeCell ref="K12:O12"/>
    <mergeCell ref="P12:T12"/>
    <mergeCell ref="X12:AB12"/>
    <mergeCell ref="P13:T13"/>
    <mergeCell ref="U13:W13"/>
    <mergeCell ref="X13:AB13"/>
    <mergeCell ref="AC13:AI13"/>
    <mergeCell ref="P14:T14"/>
    <mergeCell ref="X14:AB14"/>
    <mergeCell ref="P15:T15"/>
    <mergeCell ref="X15:AB15"/>
    <mergeCell ref="P16:T16"/>
    <mergeCell ref="X16:AB16"/>
    <mergeCell ref="P17:T17"/>
    <mergeCell ref="X17:AB17"/>
    <mergeCell ref="P18:T18"/>
    <mergeCell ref="X18:AB18"/>
    <mergeCell ref="P19:T19"/>
    <mergeCell ref="X19:AB19"/>
    <mergeCell ref="P20:T20"/>
    <mergeCell ref="X20:AB20"/>
    <mergeCell ref="P21:T21"/>
    <mergeCell ref="X21:AB21"/>
    <mergeCell ref="P22:T22"/>
    <mergeCell ref="X22:AB22"/>
    <mergeCell ref="P23:T23"/>
    <mergeCell ref="X23:AB23"/>
    <mergeCell ref="P24:T24"/>
    <mergeCell ref="X24:AB24"/>
    <mergeCell ref="P25:T25"/>
    <mergeCell ref="X25:AB25"/>
    <mergeCell ref="K26:O26"/>
    <mergeCell ref="P26:T26"/>
    <mergeCell ref="X26:AB26"/>
    <mergeCell ref="K27:O27"/>
    <mergeCell ref="P27:T27"/>
    <mergeCell ref="X27:AB27"/>
    <mergeCell ref="K28:O28"/>
    <mergeCell ref="P28:T28"/>
    <mergeCell ref="X28:AB28"/>
    <mergeCell ref="D29:G29"/>
    <mergeCell ref="P29:T29"/>
    <mergeCell ref="X29:AB29"/>
    <mergeCell ref="K32:O32"/>
    <mergeCell ref="P32:T32"/>
    <mergeCell ref="U32:W32"/>
    <mergeCell ref="AC32:AI32"/>
    <mergeCell ref="K33:O33"/>
    <mergeCell ref="P33:T33"/>
    <mergeCell ref="K34:O34"/>
    <mergeCell ref="P34:T34"/>
    <mergeCell ref="K35:O35"/>
    <mergeCell ref="P35:T35"/>
    <mergeCell ref="K36:O36"/>
    <mergeCell ref="P36:T36"/>
    <mergeCell ref="U36:W36"/>
    <mergeCell ref="AC36:AI36"/>
    <mergeCell ref="K37:O37"/>
    <mergeCell ref="P37:T37"/>
    <mergeCell ref="K38:O38"/>
    <mergeCell ref="P38:T38"/>
    <mergeCell ref="K39:O39"/>
    <mergeCell ref="P39:T39"/>
    <mergeCell ref="X45:AB45"/>
    <mergeCell ref="X46:AB46"/>
    <mergeCell ref="AC46:AI46"/>
    <mergeCell ref="X47:AB47"/>
    <mergeCell ref="K40:O40"/>
    <mergeCell ref="P40:T40"/>
    <mergeCell ref="K41:O41"/>
    <mergeCell ref="P41:T41"/>
    <mergeCell ref="K42:O42"/>
    <mergeCell ref="P42:T42"/>
    <mergeCell ref="X43:AB43"/>
    <mergeCell ref="AC43:AI43"/>
    <mergeCell ref="X44:AB44"/>
  </mergeCells>
  <pageMargins left="0.25" right="0.25" top="0.75" bottom="0.75" header="0.3" footer="0.3"/>
  <pageSetup scale="10" orientation="landscape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EFBA-70B7-4478-9FA5-AC75476121EF}">
  <dimension ref="A1:N191"/>
  <sheetViews>
    <sheetView tabSelected="1" topLeftCell="F1" zoomScale="109" zoomScaleNormal="127" workbookViewId="0">
      <selection activeCell="N17" sqref="N17"/>
    </sheetView>
  </sheetViews>
  <sheetFormatPr defaultRowHeight="12.5" x14ac:dyDescent="0.25"/>
  <cols>
    <col min="1" max="1" width="14" customWidth="1"/>
    <col min="2" max="2" width="10.36328125" customWidth="1"/>
    <col min="3" max="3" width="37.7265625" customWidth="1"/>
    <col min="4" max="4" width="14.26953125" customWidth="1"/>
    <col min="5" max="5" width="16" style="24" customWidth="1"/>
    <col min="6" max="6" width="16.26953125" customWidth="1"/>
    <col min="7" max="7" width="12.1796875" style="2" customWidth="1"/>
    <col min="9" max="11" width="10.6328125" style="2" customWidth="1"/>
    <col min="13" max="13" width="10.6328125" customWidth="1"/>
    <col min="14" max="14" width="61.7265625" customWidth="1"/>
  </cols>
  <sheetData>
    <row r="1" spans="1:14" x14ac:dyDescent="0.25">
      <c r="A1" t="s">
        <v>282</v>
      </c>
      <c r="B1" t="s">
        <v>283</v>
      </c>
      <c r="C1" t="s">
        <v>278</v>
      </c>
      <c r="D1" t="s">
        <v>279</v>
      </c>
      <c r="E1" s="24" t="s">
        <v>280</v>
      </c>
      <c r="F1" t="s">
        <v>281</v>
      </c>
      <c r="G1" s="2" t="s">
        <v>292</v>
      </c>
      <c r="I1" s="2" t="s">
        <v>273</v>
      </c>
      <c r="J1" s="2" t="s">
        <v>0</v>
      </c>
      <c r="K1" s="2" t="s">
        <v>291</v>
      </c>
      <c r="M1" t="s">
        <v>0</v>
      </c>
      <c r="N1" t="s">
        <v>451</v>
      </c>
    </row>
    <row r="2" spans="1:14" x14ac:dyDescent="0.25">
      <c r="A2" t="s">
        <v>284</v>
      </c>
      <c r="B2" s="21" t="s">
        <v>286</v>
      </c>
      <c r="C2" s="20" t="s">
        <v>285</v>
      </c>
      <c r="D2">
        <v>1</v>
      </c>
      <c r="E2" s="24">
        <v>1</v>
      </c>
      <c r="F2">
        <v>2</v>
      </c>
      <c r="G2" s="2" t="s">
        <v>293</v>
      </c>
      <c r="I2" s="2" t="s">
        <v>3</v>
      </c>
      <c r="J2" s="2" t="s">
        <v>10</v>
      </c>
      <c r="K2" s="2" t="s">
        <v>293</v>
      </c>
      <c r="M2" s="26" t="s">
        <v>47</v>
      </c>
      <c r="N2" s="26" t="s">
        <v>452</v>
      </c>
    </row>
    <row r="3" spans="1:14" x14ac:dyDescent="0.25">
      <c r="B3" s="21" t="s">
        <v>286</v>
      </c>
      <c r="C3" s="20"/>
      <c r="D3">
        <v>2</v>
      </c>
      <c r="E3" s="24">
        <v>100</v>
      </c>
      <c r="F3">
        <v>102</v>
      </c>
      <c r="G3" s="2" t="s">
        <v>293</v>
      </c>
      <c r="I3" s="2" t="s">
        <v>3</v>
      </c>
      <c r="J3" s="2" t="s">
        <v>12</v>
      </c>
      <c r="K3" s="2" t="s">
        <v>293</v>
      </c>
      <c r="N3" s="19" t="s">
        <v>453</v>
      </c>
    </row>
    <row r="4" spans="1:14" x14ac:dyDescent="0.25">
      <c r="B4" s="21" t="s">
        <v>286</v>
      </c>
      <c r="C4" s="20"/>
      <c r="D4">
        <v>3</v>
      </c>
      <c r="E4" s="24">
        <v>100000</v>
      </c>
      <c r="F4">
        <v>100003</v>
      </c>
      <c r="G4" s="2" t="s">
        <v>293</v>
      </c>
      <c r="I4" s="2" t="s">
        <v>3</v>
      </c>
      <c r="J4" s="2" t="s">
        <v>14</v>
      </c>
      <c r="K4" s="2" t="s">
        <v>293</v>
      </c>
      <c r="M4" s="26" t="s">
        <v>55</v>
      </c>
      <c r="N4" s="26" t="s">
        <v>454</v>
      </c>
    </row>
    <row r="5" spans="1:14" x14ac:dyDescent="0.25">
      <c r="B5" s="21" t="s">
        <v>286</v>
      </c>
      <c r="C5" s="20"/>
      <c r="D5">
        <v>55</v>
      </c>
      <c r="E5" s="24">
        <v>111222</v>
      </c>
      <c r="F5">
        <v>111277</v>
      </c>
      <c r="G5" s="2" t="s">
        <v>293</v>
      </c>
      <c r="I5" s="2" t="s">
        <v>3</v>
      </c>
      <c r="J5" s="2" t="s">
        <v>16</v>
      </c>
      <c r="K5" s="2" t="s">
        <v>293</v>
      </c>
      <c r="M5" s="26"/>
      <c r="N5" s="26" t="s">
        <v>455</v>
      </c>
    </row>
    <row r="6" spans="1:14" x14ac:dyDescent="0.25">
      <c r="B6" s="21" t="s">
        <v>286</v>
      </c>
      <c r="C6" s="20"/>
      <c r="D6">
        <v>444444</v>
      </c>
      <c r="E6" s="24">
        <v>444444</v>
      </c>
      <c r="F6">
        <v>888888</v>
      </c>
      <c r="G6" s="2" t="s">
        <v>293</v>
      </c>
      <c r="I6" s="2" t="s">
        <v>3</v>
      </c>
      <c r="J6" s="2" t="s">
        <v>18</v>
      </c>
      <c r="K6" s="2" t="s">
        <v>293</v>
      </c>
      <c r="M6" s="26" t="s">
        <v>138</v>
      </c>
      <c r="N6" s="26" t="s">
        <v>466</v>
      </c>
    </row>
    <row r="7" spans="1:14" x14ac:dyDescent="0.25">
      <c r="B7" s="21" t="s">
        <v>286</v>
      </c>
      <c r="C7" s="20"/>
      <c r="D7">
        <v>1</v>
      </c>
      <c r="E7" s="24">
        <v>4294967295</v>
      </c>
      <c r="F7" t="s">
        <v>294</v>
      </c>
      <c r="G7" s="2" t="s">
        <v>293</v>
      </c>
      <c r="I7" s="2" t="s">
        <v>3</v>
      </c>
      <c r="J7" s="2" t="s">
        <v>20</v>
      </c>
      <c r="K7" s="2" t="s">
        <v>293</v>
      </c>
      <c r="N7" s="26" t="s">
        <v>463</v>
      </c>
    </row>
    <row r="8" spans="1:14" x14ac:dyDescent="0.25">
      <c r="A8" t="s">
        <v>287</v>
      </c>
      <c r="B8" s="21" t="s">
        <v>286</v>
      </c>
      <c r="C8" s="20" t="s">
        <v>288</v>
      </c>
      <c r="D8">
        <v>1</v>
      </c>
      <c r="E8" s="24">
        <v>1</v>
      </c>
      <c r="F8">
        <v>0</v>
      </c>
      <c r="G8" s="2" t="s">
        <v>293</v>
      </c>
      <c r="I8" s="2" t="s">
        <v>3</v>
      </c>
      <c r="J8" s="2" t="s">
        <v>22</v>
      </c>
      <c r="K8" s="2" t="s">
        <v>293</v>
      </c>
    </row>
    <row r="9" spans="1:14" x14ac:dyDescent="0.25">
      <c r="B9" s="21" t="s">
        <v>286</v>
      </c>
      <c r="C9" s="20"/>
      <c r="D9">
        <v>10</v>
      </c>
      <c r="E9" s="24">
        <v>5</v>
      </c>
      <c r="F9">
        <v>5</v>
      </c>
      <c r="G9" s="2" t="s">
        <v>293</v>
      </c>
      <c r="I9" s="2" t="s">
        <v>3</v>
      </c>
      <c r="J9" s="2" t="s">
        <v>24</v>
      </c>
      <c r="K9" s="2" t="s">
        <v>293</v>
      </c>
    </row>
    <row r="10" spans="1:14" x14ac:dyDescent="0.25">
      <c r="B10" s="21" t="s">
        <v>286</v>
      </c>
      <c r="C10" s="20"/>
      <c r="D10">
        <v>2000</v>
      </c>
      <c r="E10" s="24">
        <v>124</v>
      </c>
      <c r="F10">
        <v>1876</v>
      </c>
      <c r="G10" s="2" t="s">
        <v>293</v>
      </c>
      <c r="I10" s="2" t="s">
        <v>3</v>
      </c>
      <c r="J10" s="2" t="s">
        <v>26</v>
      </c>
      <c r="K10" s="2" t="s">
        <v>293</v>
      </c>
    </row>
    <row r="11" spans="1:14" x14ac:dyDescent="0.25">
      <c r="B11" s="21" t="s">
        <v>286</v>
      </c>
      <c r="C11" s="20"/>
      <c r="D11">
        <v>10</v>
      </c>
      <c r="E11" s="24">
        <v>100</v>
      </c>
      <c r="F11">
        <v>-90</v>
      </c>
      <c r="G11" s="2" t="s">
        <v>293</v>
      </c>
      <c r="I11" s="2" t="s">
        <v>3</v>
      </c>
      <c r="J11" s="2" t="s">
        <v>28</v>
      </c>
      <c r="K11" s="2" t="s">
        <v>293</v>
      </c>
    </row>
    <row r="12" spans="1:14" x14ac:dyDescent="0.25">
      <c r="B12" s="21" t="s">
        <v>286</v>
      </c>
      <c r="C12" s="20"/>
      <c r="D12">
        <v>0</v>
      </c>
      <c r="E12" s="24">
        <v>1</v>
      </c>
      <c r="F12">
        <v>-1</v>
      </c>
      <c r="G12" s="2" t="s">
        <v>293</v>
      </c>
      <c r="I12" s="2" t="s">
        <v>30</v>
      </c>
      <c r="J12" s="2" t="s">
        <v>43</v>
      </c>
      <c r="K12" s="2" t="s">
        <v>293</v>
      </c>
    </row>
    <row r="13" spans="1:14" x14ac:dyDescent="0.25">
      <c r="B13" s="21" t="s">
        <v>286</v>
      </c>
      <c r="C13" s="20"/>
      <c r="D13">
        <v>4294967295</v>
      </c>
      <c r="E13" s="24">
        <v>1</v>
      </c>
      <c r="F13">
        <v>4294967294</v>
      </c>
      <c r="G13" s="2" t="s">
        <v>293</v>
      </c>
      <c r="I13" s="2" t="s">
        <v>30</v>
      </c>
      <c r="J13" s="2" t="s">
        <v>45</v>
      </c>
      <c r="K13" s="2" t="s">
        <v>293</v>
      </c>
    </row>
    <row r="14" spans="1:14" x14ac:dyDescent="0.25">
      <c r="A14" t="s">
        <v>290</v>
      </c>
      <c r="B14" s="21" t="s">
        <v>286</v>
      </c>
      <c r="C14" s="20" t="s">
        <v>289</v>
      </c>
      <c r="D14">
        <v>1</v>
      </c>
      <c r="E14" s="24">
        <v>1</v>
      </c>
      <c r="F14">
        <v>2</v>
      </c>
      <c r="G14" s="2" t="s">
        <v>293</v>
      </c>
      <c r="I14" s="2" t="s">
        <v>30</v>
      </c>
      <c r="J14" s="2" t="s">
        <v>47</v>
      </c>
      <c r="K14" s="2" t="s">
        <v>293</v>
      </c>
    </row>
    <row r="15" spans="1:14" x14ac:dyDescent="0.25">
      <c r="B15" s="21" t="s">
        <v>286</v>
      </c>
      <c r="C15" s="20"/>
      <c r="D15">
        <v>1</v>
      </c>
      <c r="E15" s="24">
        <v>5</v>
      </c>
      <c r="F15">
        <v>32</v>
      </c>
      <c r="G15" s="2" t="s">
        <v>293</v>
      </c>
      <c r="I15" s="2" t="s">
        <v>30</v>
      </c>
      <c r="J15" s="2" t="s">
        <v>49</v>
      </c>
      <c r="K15" s="2" t="s">
        <v>293</v>
      </c>
    </row>
    <row r="16" spans="1:14" x14ac:dyDescent="0.25">
      <c r="B16" s="21" t="s">
        <v>286</v>
      </c>
      <c r="C16" s="20"/>
      <c r="D16">
        <v>1</v>
      </c>
      <c r="E16" s="24">
        <v>10</v>
      </c>
      <c r="F16">
        <v>1024</v>
      </c>
      <c r="G16" s="2" t="s">
        <v>293</v>
      </c>
      <c r="I16" s="2" t="s">
        <v>30</v>
      </c>
      <c r="J16" s="2" t="s">
        <v>51</v>
      </c>
      <c r="K16" s="2" t="s">
        <v>293</v>
      </c>
    </row>
    <row r="17" spans="1:11" x14ac:dyDescent="0.25">
      <c r="B17" s="21" t="s">
        <v>286</v>
      </c>
      <c r="C17" s="20"/>
      <c r="D17">
        <v>44</v>
      </c>
      <c r="E17" s="24">
        <v>1</v>
      </c>
      <c r="F17">
        <v>88</v>
      </c>
      <c r="G17" s="2" t="s">
        <v>293</v>
      </c>
      <c r="I17" s="2" t="s">
        <v>30</v>
      </c>
      <c r="J17" s="2" t="s">
        <v>53</v>
      </c>
      <c r="K17" s="2" t="s">
        <v>293</v>
      </c>
    </row>
    <row r="18" spans="1:11" x14ac:dyDescent="0.25">
      <c r="B18" s="21" t="s">
        <v>286</v>
      </c>
      <c r="C18" s="20"/>
      <c r="D18">
        <v>44</v>
      </c>
      <c r="E18" s="24">
        <v>6</v>
      </c>
      <c r="F18">
        <v>2816</v>
      </c>
      <c r="G18" s="2" t="s">
        <v>293</v>
      </c>
      <c r="I18" s="2" t="s">
        <v>30</v>
      </c>
      <c r="J18" s="2" t="s">
        <v>55</v>
      </c>
      <c r="K18" s="2" t="s">
        <v>293</v>
      </c>
    </row>
    <row r="19" spans="1:11" x14ac:dyDescent="0.25">
      <c r="B19" s="21" t="s">
        <v>286</v>
      </c>
      <c r="C19" s="20"/>
      <c r="D19">
        <v>100</v>
      </c>
      <c r="E19" s="24">
        <v>5</v>
      </c>
      <c r="F19">
        <v>3200</v>
      </c>
      <c r="G19" s="2" t="s">
        <v>293</v>
      </c>
      <c r="I19" s="2" t="s">
        <v>30</v>
      </c>
      <c r="J19" s="2" t="s">
        <v>58</v>
      </c>
      <c r="K19" s="2" t="s">
        <v>293</v>
      </c>
    </row>
    <row r="20" spans="1:11" x14ac:dyDescent="0.25">
      <c r="B20" s="21" t="s">
        <v>286</v>
      </c>
      <c r="C20" s="20"/>
      <c r="D20">
        <v>1</v>
      </c>
      <c r="E20" s="24">
        <v>31</v>
      </c>
      <c r="F20">
        <f xml:space="preserve"> 1*2^31</f>
        <v>2147483648</v>
      </c>
      <c r="G20" s="2" t="s">
        <v>293</v>
      </c>
      <c r="I20" s="2" t="s">
        <v>30</v>
      </c>
      <c r="J20" s="2" t="s">
        <v>60</v>
      </c>
      <c r="K20" s="2" t="s">
        <v>293</v>
      </c>
    </row>
    <row r="21" spans="1:11" x14ac:dyDescent="0.25">
      <c r="A21" t="s">
        <v>295</v>
      </c>
      <c r="B21" s="21" t="s">
        <v>286</v>
      </c>
      <c r="C21" s="20" t="s">
        <v>296</v>
      </c>
      <c r="D21">
        <v>1</v>
      </c>
      <c r="E21" s="24">
        <v>0</v>
      </c>
      <c r="F21">
        <v>0</v>
      </c>
      <c r="G21" s="2" t="s">
        <v>293</v>
      </c>
      <c r="I21" s="2" t="s">
        <v>30</v>
      </c>
      <c r="J21" s="2" t="s">
        <v>62</v>
      </c>
      <c r="K21" s="2" t="s">
        <v>293</v>
      </c>
    </row>
    <row r="22" spans="1:11" x14ac:dyDescent="0.25">
      <c r="B22" s="21" t="s">
        <v>286</v>
      </c>
      <c r="C22" s="20"/>
      <c r="D22">
        <v>0</v>
      </c>
      <c r="E22" s="24">
        <v>1</v>
      </c>
      <c r="F22">
        <v>1</v>
      </c>
      <c r="G22" s="2" t="s">
        <v>293</v>
      </c>
      <c r="I22" s="2" t="s">
        <v>30</v>
      </c>
      <c r="J22" s="2" t="s">
        <v>64</v>
      </c>
      <c r="K22" s="2" t="s">
        <v>293</v>
      </c>
    </row>
    <row r="23" spans="1:11" x14ac:dyDescent="0.25">
      <c r="B23" s="21" t="s">
        <v>286</v>
      </c>
      <c r="C23" s="20"/>
      <c r="D23" s="21" t="s">
        <v>297</v>
      </c>
      <c r="E23" s="24">
        <v>0</v>
      </c>
      <c r="F23">
        <v>1</v>
      </c>
      <c r="G23" s="2" t="s">
        <v>293</v>
      </c>
      <c r="I23" s="2" t="s">
        <v>30</v>
      </c>
      <c r="J23" s="2" t="s">
        <v>66</v>
      </c>
      <c r="K23" s="2" t="s">
        <v>293</v>
      </c>
    </row>
    <row r="24" spans="1:11" x14ac:dyDescent="0.25">
      <c r="B24" s="21" t="s">
        <v>286</v>
      </c>
      <c r="C24" s="20"/>
      <c r="D24">
        <v>0</v>
      </c>
      <c r="E24" s="21" t="s">
        <v>297</v>
      </c>
      <c r="F24">
        <v>0</v>
      </c>
      <c r="G24" s="2" t="s">
        <v>293</v>
      </c>
      <c r="I24" s="2" t="s">
        <v>30</v>
      </c>
      <c r="J24" s="2" t="s">
        <v>68</v>
      </c>
      <c r="K24" s="2" t="s">
        <v>293</v>
      </c>
    </row>
    <row r="25" spans="1:11" x14ac:dyDescent="0.25">
      <c r="B25" s="21" t="s">
        <v>286</v>
      </c>
      <c r="C25" s="20"/>
      <c r="D25">
        <v>10203</v>
      </c>
      <c r="E25" s="24">
        <v>544</v>
      </c>
      <c r="F25">
        <v>0</v>
      </c>
      <c r="G25" s="2" t="s">
        <v>293</v>
      </c>
      <c r="I25" s="2" t="s">
        <v>30</v>
      </c>
      <c r="J25" s="2" t="s">
        <v>75</v>
      </c>
      <c r="K25" s="2" t="s">
        <v>293</v>
      </c>
    </row>
    <row r="26" spans="1:11" x14ac:dyDescent="0.25">
      <c r="B26" s="21" t="s">
        <v>286</v>
      </c>
      <c r="C26" s="20"/>
      <c r="D26">
        <v>443222223334</v>
      </c>
      <c r="E26" s="24">
        <v>33333</v>
      </c>
      <c r="F26">
        <v>0</v>
      </c>
      <c r="G26" s="2" t="s">
        <v>293</v>
      </c>
      <c r="I26" s="2" t="s">
        <v>30</v>
      </c>
      <c r="J26" s="2" t="s">
        <v>77</v>
      </c>
      <c r="K26" s="2" t="s">
        <v>293</v>
      </c>
    </row>
    <row r="27" spans="1:11" x14ac:dyDescent="0.25">
      <c r="B27" s="21" t="s">
        <v>286</v>
      </c>
      <c r="C27" s="20"/>
      <c r="D27">
        <v>-90</v>
      </c>
      <c r="E27" s="24">
        <v>-44</v>
      </c>
      <c r="F27">
        <v>1</v>
      </c>
      <c r="G27" s="2" t="s">
        <v>293</v>
      </c>
      <c r="I27" s="2" t="s">
        <v>95</v>
      </c>
      <c r="J27" s="2" t="s">
        <v>96</v>
      </c>
      <c r="K27" s="2" t="s">
        <v>293</v>
      </c>
    </row>
    <row r="28" spans="1:11" x14ac:dyDescent="0.25">
      <c r="B28" s="21" t="s">
        <v>286</v>
      </c>
      <c r="C28" s="20"/>
      <c r="D28">
        <v>-44</v>
      </c>
      <c r="E28" s="24">
        <v>-90</v>
      </c>
      <c r="F28">
        <v>0</v>
      </c>
      <c r="G28" s="2" t="s">
        <v>293</v>
      </c>
      <c r="I28" s="2" t="s">
        <v>95</v>
      </c>
      <c r="J28" s="2" t="s">
        <v>98</v>
      </c>
      <c r="K28" s="2" t="s">
        <v>293</v>
      </c>
    </row>
    <row r="29" spans="1:11" x14ac:dyDescent="0.25">
      <c r="A29" t="s">
        <v>298</v>
      </c>
      <c r="B29" s="21" t="s">
        <v>286</v>
      </c>
      <c r="C29" s="20" t="s">
        <v>299</v>
      </c>
      <c r="D29">
        <v>1</v>
      </c>
      <c r="E29" s="24">
        <v>0</v>
      </c>
      <c r="F29">
        <v>0</v>
      </c>
      <c r="G29" s="2" t="s">
        <v>293</v>
      </c>
      <c r="I29" s="2" t="s">
        <v>95</v>
      </c>
      <c r="J29" s="2" t="s">
        <v>100</v>
      </c>
      <c r="K29" s="2" t="s">
        <v>293</v>
      </c>
    </row>
    <row r="30" spans="1:11" x14ac:dyDescent="0.25">
      <c r="B30" s="21" t="s">
        <v>286</v>
      </c>
      <c r="C30" s="20"/>
      <c r="D30">
        <v>0</v>
      </c>
      <c r="E30" s="24">
        <v>1</v>
      </c>
      <c r="F30">
        <v>1</v>
      </c>
      <c r="G30" s="2" t="s">
        <v>293</v>
      </c>
      <c r="I30" s="2" t="s">
        <v>116</v>
      </c>
      <c r="J30" s="2" t="s">
        <v>136</v>
      </c>
      <c r="K30" s="2" t="s">
        <v>293</v>
      </c>
    </row>
    <row r="31" spans="1:11" x14ac:dyDescent="0.25">
      <c r="B31" s="21" t="s">
        <v>286</v>
      </c>
      <c r="C31" s="20"/>
      <c r="D31" s="21" t="s">
        <v>297</v>
      </c>
      <c r="E31" s="24">
        <v>0</v>
      </c>
      <c r="F31">
        <v>0</v>
      </c>
      <c r="G31" s="2" t="s">
        <v>293</v>
      </c>
      <c r="I31" s="2" t="s">
        <v>116</v>
      </c>
      <c r="J31" s="2" t="s">
        <v>138</v>
      </c>
      <c r="K31" s="2" t="s">
        <v>462</v>
      </c>
    </row>
    <row r="32" spans="1:11" x14ac:dyDescent="0.25">
      <c r="B32" s="21" t="s">
        <v>286</v>
      </c>
      <c r="C32" s="20"/>
      <c r="D32">
        <v>0</v>
      </c>
      <c r="E32" s="21" t="s">
        <v>297</v>
      </c>
      <c r="F32">
        <v>1</v>
      </c>
      <c r="G32" s="2" t="s">
        <v>293</v>
      </c>
      <c r="I32" s="2" t="s">
        <v>140</v>
      </c>
      <c r="J32" s="2" t="s">
        <v>141</v>
      </c>
      <c r="K32" s="2" t="s">
        <v>465</v>
      </c>
    </row>
    <row r="33" spans="1:7" x14ac:dyDescent="0.25">
      <c r="B33" s="21" t="s">
        <v>286</v>
      </c>
      <c r="C33" s="20"/>
      <c r="D33">
        <v>10203</v>
      </c>
      <c r="E33" s="24">
        <v>544</v>
      </c>
      <c r="F33">
        <v>0</v>
      </c>
      <c r="G33" s="2" t="s">
        <v>293</v>
      </c>
    </row>
    <row r="34" spans="1:7" x14ac:dyDescent="0.25">
      <c r="B34" s="21" t="s">
        <v>286</v>
      </c>
      <c r="C34" s="20"/>
      <c r="D34">
        <v>443222223334</v>
      </c>
      <c r="E34" s="24">
        <v>33333</v>
      </c>
      <c r="F34">
        <v>0</v>
      </c>
      <c r="G34" s="2" t="s">
        <v>293</v>
      </c>
    </row>
    <row r="35" spans="1:7" x14ac:dyDescent="0.25">
      <c r="B35" s="21" t="s">
        <v>286</v>
      </c>
      <c r="C35" s="20"/>
      <c r="D35">
        <v>-90</v>
      </c>
      <c r="E35" s="24">
        <v>-44</v>
      </c>
      <c r="F35">
        <v>1</v>
      </c>
      <c r="G35" s="2" t="s">
        <v>293</v>
      </c>
    </row>
    <row r="36" spans="1:7" x14ac:dyDescent="0.25">
      <c r="B36" s="21" t="s">
        <v>286</v>
      </c>
      <c r="C36" s="20"/>
      <c r="D36">
        <v>-44</v>
      </c>
      <c r="E36" s="24">
        <v>-90</v>
      </c>
      <c r="F36">
        <v>0</v>
      </c>
      <c r="G36" s="2" t="s">
        <v>293</v>
      </c>
    </row>
    <row r="37" spans="1:7" x14ac:dyDescent="0.25">
      <c r="A37" t="s">
        <v>300</v>
      </c>
      <c r="B37" s="21" t="s">
        <v>286</v>
      </c>
      <c r="C37" s="20" t="s">
        <v>301</v>
      </c>
      <c r="D37">
        <v>1</v>
      </c>
      <c r="E37" s="24">
        <v>1</v>
      </c>
      <c r="F37">
        <v>0</v>
      </c>
      <c r="G37" s="2" t="s">
        <v>293</v>
      </c>
    </row>
    <row r="38" spans="1:7" x14ac:dyDescent="0.25">
      <c r="B38" s="21" t="s">
        <v>286</v>
      </c>
      <c r="C38" s="20"/>
      <c r="D38">
        <v>15</v>
      </c>
      <c r="E38" s="24">
        <v>15</v>
      </c>
      <c r="F38">
        <v>0</v>
      </c>
      <c r="G38" s="2" t="s">
        <v>293</v>
      </c>
    </row>
    <row r="39" spans="1:7" x14ac:dyDescent="0.25">
      <c r="B39" s="21" t="s">
        <v>286</v>
      </c>
      <c r="C39" s="20"/>
      <c r="D39" s="21" t="s">
        <v>297</v>
      </c>
      <c r="E39" s="21" t="s">
        <v>297</v>
      </c>
      <c r="F39">
        <v>0</v>
      </c>
      <c r="G39" s="2" t="s">
        <v>293</v>
      </c>
    </row>
    <row r="40" spans="1:7" x14ac:dyDescent="0.25">
      <c r="B40" s="21" t="s">
        <v>286</v>
      </c>
      <c r="C40" s="20"/>
      <c r="D40" s="22">
        <v>12345</v>
      </c>
      <c r="E40" s="24">
        <v>50000</v>
      </c>
      <c r="F40">
        <v>62313</v>
      </c>
      <c r="G40" s="2" t="s">
        <v>293</v>
      </c>
    </row>
    <row r="41" spans="1:7" x14ac:dyDescent="0.25">
      <c r="B41" s="21" t="s">
        <v>286</v>
      </c>
      <c r="C41" s="20"/>
      <c r="D41" s="22">
        <v>31</v>
      </c>
      <c r="E41" s="24">
        <v>0</v>
      </c>
      <c r="F41">
        <v>31</v>
      </c>
      <c r="G41" s="2" t="s">
        <v>293</v>
      </c>
    </row>
    <row r="42" spans="1:7" x14ac:dyDescent="0.25">
      <c r="B42" s="21" t="s">
        <v>286</v>
      </c>
      <c r="C42" s="20"/>
      <c r="D42" s="23" t="s">
        <v>297</v>
      </c>
      <c r="E42" s="24">
        <v>0</v>
      </c>
      <c r="F42">
        <v>-90</v>
      </c>
      <c r="G42" s="2" t="s">
        <v>293</v>
      </c>
    </row>
    <row r="43" spans="1:7" x14ac:dyDescent="0.25">
      <c r="A43" t="s">
        <v>304</v>
      </c>
      <c r="B43" s="21" t="s">
        <v>286</v>
      </c>
      <c r="C43" s="20" t="s">
        <v>303</v>
      </c>
      <c r="D43" s="22">
        <v>10</v>
      </c>
      <c r="E43" s="24">
        <v>1</v>
      </c>
      <c r="F43">
        <v>5</v>
      </c>
      <c r="G43" s="2" t="s">
        <v>293</v>
      </c>
    </row>
    <row r="44" spans="1:7" x14ac:dyDescent="0.25">
      <c r="B44" s="21" t="s">
        <v>286</v>
      </c>
      <c r="C44" s="20"/>
      <c r="D44" s="22">
        <v>1234</v>
      </c>
      <c r="E44" s="24">
        <v>4</v>
      </c>
      <c r="F44">
        <v>77</v>
      </c>
      <c r="G44" s="2" t="s">
        <v>293</v>
      </c>
    </row>
    <row r="45" spans="1:7" x14ac:dyDescent="0.25">
      <c r="B45" s="21" t="s">
        <v>286</v>
      </c>
      <c r="C45" s="20"/>
      <c r="D45" s="22" t="s">
        <v>302</v>
      </c>
      <c r="E45" s="24">
        <v>1</v>
      </c>
      <c r="F45">
        <v>2147483603</v>
      </c>
      <c r="G45" s="2" t="s">
        <v>293</v>
      </c>
    </row>
    <row r="46" spans="1:7" x14ac:dyDescent="0.25">
      <c r="B46" s="21" t="s">
        <v>286</v>
      </c>
      <c r="C46" s="20"/>
      <c r="D46" s="22" t="s">
        <v>302</v>
      </c>
      <c r="E46" s="24">
        <v>8</v>
      </c>
      <c r="F46">
        <v>16777215</v>
      </c>
      <c r="G46" s="2" t="s">
        <v>293</v>
      </c>
    </row>
    <row r="47" spans="1:7" x14ac:dyDescent="0.25">
      <c r="B47" s="21" t="s">
        <v>286</v>
      </c>
      <c r="C47" s="20"/>
      <c r="D47" s="22">
        <v>1</v>
      </c>
      <c r="E47" s="24">
        <v>1</v>
      </c>
      <c r="F47">
        <v>0</v>
      </c>
      <c r="G47" s="2" t="s">
        <v>293</v>
      </c>
    </row>
    <row r="48" spans="1:7" x14ac:dyDescent="0.25">
      <c r="B48" s="21" t="s">
        <v>286</v>
      </c>
      <c r="C48" s="20"/>
      <c r="D48" s="22">
        <v>4294967295</v>
      </c>
      <c r="E48" s="24">
        <v>30</v>
      </c>
      <c r="F48">
        <v>3</v>
      </c>
      <c r="G48" s="2" t="s">
        <v>293</v>
      </c>
    </row>
    <row r="49" spans="1:7" x14ac:dyDescent="0.25">
      <c r="A49" t="s">
        <v>305</v>
      </c>
      <c r="B49" s="21" t="s">
        <v>286</v>
      </c>
      <c r="C49" s="20" t="s">
        <v>310</v>
      </c>
      <c r="D49" s="22">
        <v>10</v>
      </c>
      <c r="E49" s="24">
        <v>1</v>
      </c>
      <c r="F49">
        <v>5</v>
      </c>
      <c r="G49" s="2" t="s">
        <v>293</v>
      </c>
    </row>
    <row r="50" spans="1:7" x14ac:dyDescent="0.25">
      <c r="B50" s="21" t="s">
        <v>286</v>
      </c>
      <c r="C50" s="20"/>
      <c r="D50" s="22">
        <v>1234</v>
      </c>
      <c r="E50" s="24">
        <v>4</v>
      </c>
      <c r="F50">
        <v>77</v>
      </c>
      <c r="G50" s="2" t="s">
        <v>293</v>
      </c>
    </row>
    <row r="51" spans="1:7" x14ac:dyDescent="0.25">
      <c r="B51" s="21" t="s">
        <v>286</v>
      </c>
      <c r="C51" s="20"/>
      <c r="D51" s="22" t="s">
        <v>302</v>
      </c>
      <c r="E51" s="24">
        <v>1</v>
      </c>
      <c r="F51">
        <v>-45</v>
      </c>
      <c r="G51" s="2" t="s">
        <v>293</v>
      </c>
    </row>
    <row r="52" spans="1:7" x14ac:dyDescent="0.25">
      <c r="B52" s="21" t="s">
        <v>286</v>
      </c>
      <c r="C52" s="20"/>
      <c r="D52" s="23" t="s">
        <v>297</v>
      </c>
      <c r="E52" s="24">
        <v>8</v>
      </c>
      <c r="F52">
        <v>-1</v>
      </c>
      <c r="G52" s="2" t="s">
        <v>293</v>
      </c>
    </row>
    <row r="53" spans="1:7" x14ac:dyDescent="0.25">
      <c r="B53" s="21" t="s">
        <v>286</v>
      </c>
      <c r="C53" s="20"/>
      <c r="D53" s="22">
        <v>1</v>
      </c>
      <c r="E53" s="24">
        <v>1</v>
      </c>
      <c r="F53">
        <v>0</v>
      </c>
      <c r="G53" s="2" t="s">
        <v>293</v>
      </c>
    </row>
    <row r="54" spans="1:7" x14ac:dyDescent="0.25">
      <c r="B54" s="21" t="s">
        <v>286</v>
      </c>
      <c r="C54" s="20"/>
      <c r="D54" s="22">
        <v>4294967295</v>
      </c>
      <c r="E54" s="24">
        <v>30</v>
      </c>
      <c r="F54">
        <v>-1</v>
      </c>
      <c r="G54" s="2" t="s">
        <v>293</v>
      </c>
    </row>
    <row r="55" spans="1:7" x14ac:dyDescent="0.25">
      <c r="A55" t="s">
        <v>306</v>
      </c>
      <c r="B55" s="21" t="s">
        <v>286</v>
      </c>
      <c r="C55" s="20" t="s">
        <v>309</v>
      </c>
      <c r="D55" s="22">
        <v>8</v>
      </c>
      <c r="E55" s="24">
        <v>4</v>
      </c>
      <c r="F55">
        <v>12</v>
      </c>
      <c r="G55" s="2" t="s">
        <v>293</v>
      </c>
    </row>
    <row r="56" spans="1:7" x14ac:dyDescent="0.25">
      <c r="B56" s="21" t="s">
        <v>286</v>
      </c>
      <c r="C56" s="20"/>
      <c r="D56" s="22">
        <v>12</v>
      </c>
      <c r="E56" s="24">
        <v>2</v>
      </c>
      <c r="F56">
        <v>14</v>
      </c>
      <c r="G56" s="2" t="s">
        <v>293</v>
      </c>
    </row>
    <row r="57" spans="1:7" x14ac:dyDescent="0.25">
      <c r="B57" s="21" t="s">
        <v>286</v>
      </c>
      <c r="C57" s="20"/>
      <c r="D57" s="22" t="s">
        <v>302</v>
      </c>
      <c r="E57" s="24">
        <v>100</v>
      </c>
      <c r="F57">
        <v>4294967270</v>
      </c>
      <c r="G57" s="2" t="s">
        <v>293</v>
      </c>
    </row>
    <row r="58" spans="1:7" x14ac:dyDescent="0.25">
      <c r="B58" s="21" t="s">
        <v>286</v>
      </c>
      <c r="C58" s="20"/>
      <c r="D58" s="22">
        <v>36</v>
      </c>
      <c r="E58" s="24">
        <v>0</v>
      </c>
      <c r="F58">
        <v>36</v>
      </c>
      <c r="G58" s="2" t="s">
        <v>293</v>
      </c>
    </row>
    <row r="59" spans="1:7" x14ac:dyDescent="0.25">
      <c r="B59" s="21" t="s">
        <v>286</v>
      </c>
      <c r="C59" s="20"/>
      <c r="D59" s="22">
        <v>55000</v>
      </c>
      <c r="E59" s="24">
        <v>300</v>
      </c>
      <c r="F59">
        <v>55292</v>
      </c>
      <c r="G59" s="2" t="s">
        <v>293</v>
      </c>
    </row>
    <row r="60" spans="1:7" x14ac:dyDescent="0.25">
      <c r="B60" s="21" t="s">
        <v>286</v>
      </c>
      <c r="C60" s="20"/>
      <c r="D60">
        <v>1</v>
      </c>
      <c r="E60" s="24">
        <v>1</v>
      </c>
      <c r="F60">
        <v>1</v>
      </c>
      <c r="G60" s="2" t="s">
        <v>293</v>
      </c>
    </row>
    <row r="61" spans="1:7" x14ac:dyDescent="0.25">
      <c r="A61" t="s">
        <v>307</v>
      </c>
      <c r="B61" s="21" t="s">
        <v>286</v>
      </c>
      <c r="C61" s="20" t="s">
        <v>308</v>
      </c>
      <c r="D61">
        <v>1</v>
      </c>
      <c r="E61" s="24">
        <v>0</v>
      </c>
      <c r="F61">
        <v>0</v>
      </c>
      <c r="G61" s="2" t="s">
        <v>293</v>
      </c>
    </row>
    <row r="62" spans="1:7" x14ac:dyDescent="0.25">
      <c r="B62" s="21" t="s">
        <v>286</v>
      </c>
      <c r="C62" s="20"/>
      <c r="D62">
        <v>0</v>
      </c>
      <c r="E62" s="24">
        <v>1</v>
      </c>
      <c r="F62">
        <v>0</v>
      </c>
      <c r="G62" s="2" t="s">
        <v>293</v>
      </c>
    </row>
    <row r="63" spans="1:7" x14ac:dyDescent="0.25">
      <c r="B63" s="21" t="s">
        <v>286</v>
      </c>
      <c r="C63" s="20"/>
      <c r="D63">
        <v>15</v>
      </c>
      <c r="E63" s="24">
        <v>12</v>
      </c>
      <c r="F63">
        <v>12</v>
      </c>
      <c r="G63" s="2" t="s">
        <v>293</v>
      </c>
    </row>
    <row r="64" spans="1:7" x14ac:dyDescent="0.25">
      <c r="B64" s="21" t="s">
        <v>286</v>
      </c>
      <c r="C64" s="20"/>
      <c r="D64" s="22" t="s">
        <v>302</v>
      </c>
      <c r="E64" s="24">
        <v>1440</v>
      </c>
      <c r="F64">
        <v>1440</v>
      </c>
      <c r="G64" s="2" t="s">
        <v>293</v>
      </c>
    </row>
    <row r="65" spans="1:7" x14ac:dyDescent="0.25">
      <c r="B65" s="21" t="s">
        <v>286</v>
      </c>
      <c r="C65" s="20"/>
      <c r="D65" s="22">
        <v>4294967295</v>
      </c>
      <c r="E65" s="24">
        <v>511</v>
      </c>
      <c r="F65">
        <v>511</v>
      </c>
      <c r="G65" s="2" t="s">
        <v>293</v>
      </c>
    </row>
    <row r="66" spans="1:7" x14ac:dyDescent="0.25">
      <c r="A66" t="s">
        <v>358</v>
      </c>
      <c r="B66" s="21" t="s">
        <v>286</v>
      </c>
      <c r="C66" s="20" t="s">
        <v>372</v>
      </c>
      <c r="D66">
        <v>0</v>
      </c>
      <c r="E66" s="24" t="s">
        <v>286</v>
      </c>
      <c r="F66">
        <v>0</v>
      </c>
      <c r="G66" s="2" t="s">
        <v>293</v>
      </c>
    </row>
    <row r="67" spans="1:7" x14ac:dyDescent="0.25">
      <c r="B67" s="21" t="s">
        <v>286</v>
      </c>
      <c r="C67" s="20" t="s">
        <v>373</v>
      </c>
      <c r="D67">
        <v>1</v>
      </c>
      <c r="E67" s="24" t="s">
        <v>286</v>
      </c>
      <c r="F67">
        <v>4</v>
      </c>
      <c r="G67" s="2" t="s">
        <v>293</v>
      </c>
    </row>
    <row r="68" spans="1:7" x14ac:dyDescent="0.25">
      <c r="A68" s="4" t="s">
        <v>450</v>
      </c>
      <c r="B68" s="21" t="s">
        <v>286</v>
      </c>
      <c r="C68" s="20" t="s">
        <v>374</v>
      </c>
      <c r="D68">
        <v>1234</v>
      </c>
      <c r="E68" s="24" t="s">
        <v>286</v>
      </c>
      <c r="F68">
        <v>-34</v>
      </c>
      <c r="G68" s="2" t="s">
        <v>293</v>
      </c>
    </row>
    <row r="69" spans="1:7" x14ac:dyDescent="0.25">
      <c r="B69" s="21" t="s">
        <v>286</v>
      </c>
      <c r="C69" s="20" t="s">
        <v>375</v>
      </c>
      <c r="D69">
        <v>-1</v>
      </c>
      <c r="E69" s="24" t="s">
        <v>286</v>
      </c>
      <c r="F69">
        <v>47</v>
      </c>
      <c r="G69" s="2" t="s">
        <v>293</v>
      </c>
    </row>
    <row r="70" spans="1:7" x14ac:dyDescent="0.25">
      <c r="B70" s="21" t="s">
        <v>286</v>
      </c>
      <c r="C70" s="20" t="s">
        <v>376</v>
      </c>
      <c r="D70">
        <v>-90</v>
      </c>
      <c r="E70" s="24" t="s">
        <v>286</v>
      </c>
      <c r="F70">
        <v>41</v>
      </c>
      <c r="G70" s="2" t="s">
        <v>293</v>
      </c>
    </row>
    <row r="71" spans="1:7" x14ac:dyDescent="0.25">
      <c r="B71" s="21" t="s">
        <v>286</v>
      </c>
      <c r="C71" s="20" t="s">
        <v>377</v>
      </c>
      <c r="D71" s="22">
        <v>4294967295</v>
      </c>
      <c r="E71" s="24" t="s">
        <v>286</v>
      </c>
      <c r="F71">
        <v>-2</v>
      </c>
      <c r="G71" s="2" t="s">
        <v>293</v>
      </c>
    </row>
    <row r="72" spans="1:7" x14ac:dyDescent="0.25">
      <c r="A72" t="s">
        <v>359</v>
      </c>
      <c r="B72" s="21" t="s">
        <v>286</v>
      </c>
      <c r="C72" s="20" t="s">
        <v>378</v>
      </c>
      <c r="D72">
        <v>57344</v>
      </c>
      <c r="E72" s="24" t="s">
        <v>286</v>
      </c>
      <c r="F72">
        <v>0</v>
      </c>
      <c r="G72" s="2" t="s">
        <v>293</v>
      </c>
    </row>
    <row r="73" spans="1:7" x14ac:dyDescent="0.25">
      <c r="B73" s="21" t="s">
        <v>286</v>
      </c>
      <c r="C73" s="20" t="s">
        <v>379</v>
      </c>
      <c r="D73">
        <v>1</v>
      </c>
      <c r="E73" s="24" t="s">
        <v>286</v>
      </c>
      <c r="F73">
        <v>4</v>
      </c>
      <c r="G73" s="2" t="s">
        <v>293</v>
      </c>
    </row>
    <row r="74" spans="1:7" x14ac:dyDescent="0.25">
      <c r="B74" s="21" t="s">
        <v>286</v>
      </c>
      <c r="C74" s="20" t="s">
        <v>383</v>
      </c>
      <c r="D74">
        <v>1234</v>
      </c>
      <c r="E74" s="24" t="s">
        <v>286</v>
      </c>
      <c r="F74">
        <v>1246</v>
      </c>
      <c r="G74" s="2" t="s">
        <v>293</v>
      </c>
    </row>
    <row r="75" spans="1:7" x14ac:dyDescent="0.25">
      <c r="B75" s="21" t="s">
        <v>286</v>
      </c>
      <c r="C75" s="20" t="s">
        <v>382</v>
      </c>
      <c r="D75">
        <v>-1</v>
      </c>
      <c r="E75" s="24" t="s">
        <v>286</v>
      </c>
      <c r="F75">
        <v>47</v>
      </c>
      <c r="G75" s="2" t="s">
        <v>293</v>
      </c>
    </row>
    <row r="76" spans="1:7" x14ac:dyDescent="0.25">
      <c r="B76" s="21" t="s">
        <v>286</v>
      </c>
      <c r="C76" s="20" t="s">
        <v>381</v>
      </c>
      <c r="D76">
        <v>-90</v>
      </c>
      <c r="E76" s="24" t="s">
        <v>286</v>
      </c>
      <c r="F76">
        <v>297</v>
      </c>
      <c r="G76" s="2" t="s">
        <v>293</v>
      </c>
    </row>
    <row r="77" spans="1:7" x14ac:dyDescent="0.25">
      <c r="B77" s="21" t="s">
        <v>286</v>
      </c>
      <c r="C77" s="20" t="s">
        <v>380</v>
      </c>
      <c r="D77" s="22">
        <v>4294967295</v>
      </c>
      <c r="E77" s="24" t="s">
        <v>286</v>
      </c>
      <c r="F77">
        <v>4094</v>
      </c>
      <c r="G77" s="2" t="s">
        <v>293</v>
      </c>
    </row>
    <row r="78" spans="1:7" x14ac:dyDescent="0.25">
      <c r="A78" t="s">
        <v>360</v>
      </c>
      <c r="B78" s="21" t="s">
        <v>286</v>
      </c>
      <c r="C78" s="20" t="s">
        <v>384</v>
      </c>
      <c r="D78">
        <v>3758096384</v>
      </c>
      <c r="E78" s="24" t="s">
        <v>286</v>
      </c>
      <c r="F78">
        <v>0</v>
      </c>
      <c r="G78" s="2" t="s">
        <v>293</v>
      </c>
    </row>
    <row r="79" spans="1:7" x14ac:dyDescent="0.25">
      <c r="B79" s="21" t="s">
        <v>286</v>
      </c>
      <c r="C79" s="20" t="s">
        <v>385</v>
      </c>
      <c r="D79">
        <v>1</v>
      </c>
      <c r="E79" s="24" t="s">
        <v>286</v>
      </c>
      <c r="F79">
        <v>4</v>
      </c>
      <c r="G79" s="2" t="s">
        <v>293</v>
      </c>
    </row>
    <row r="80" spans="1:7" x14ac:dyDescent="0.25">
      <c r="B80" s="21" t="s">
        <v>286</v>
      </c>
      <c r="C80" s="20" t="s">
        <v>386</v>
      </c>
      <c r="D80">
        <v>1234</v>
      </c>
      <c r="E80" s="24" t="s">
        <v>286</v>
      </c>
      <c r="F80">
        <v>1246</v>
      </c>
      <c r="G80" s="2" t="s">
        <v>293</v>
      </c>
    </row>
    <row r="81" spans="1:7" x14ac:dyDescent="0.25">
      <c r="B81" s="21" t="s">
        <v>286</v>
      </c>
      <c r="C81" s="20" t="s">
        <v>387</v>
      </c>
      <c r="D81">
        <v>-1</v>
      </c>
      <c r="E81" s="24" t="s">
        <v>286</v>
      </c>
      <c r="F81">
        <v>47</v>
      </c>
      <c r="G81" s="2" t="s">
        <v>293</v>
      </c>
    </row>
    <row r="82" spans="1:7" x14ac:dyDescent="0.25">
      <c r="B82" s="21" t="s">
        <v>286</v>
      </c>
      <c r="C82" s="20" t="s">
        <v>388</v>
      </c>
      <c r="D82">
        <v>-90</v>
      </c>
      <c r="E82" s="24" t="s">
        <v>286</v>
      </c>
      <c r="F82">
        <v>297</v>
      </c>
      <c r="G82" s="2" t="s">
        <v>293</v>
      </c>
    </row>
    <row r="83" spans="1:7" x14ac:dyDescent="0.25">
      <c r="B83" s="21" t="s">
        <v>286</v>
      </c>
      <c r="C83" s="20" t="s">
        <v>389</v>
      </c>
      <c r="D83" s="22">
        <v>4294967295</v>
      </c>
      <c r="E83" s="24" t="s">
        <v>286</v>
      </c>
      <c r="F83">
        <v>4094</v>
      </c>
      <c r="G83" s="2" t="s">
        <v>293</v>
      </c>
    </row>
    <row r="84" spans="1:7" x14ac:dyDescent="0.25">
      <c r="A84" t="s">
        <v>361</v>
      </c>
      <c r="B84" s="21" t="s">
        <v>286</v>
      </c>
      <c r="C84" s="20" t="s">
        <v>390</v>
      </c>
      <c r="D84">
        <v>192</v>
      </c>
      <c r="E84" s="24" t="s">
        <v>286</v>
      </c>
      <c r="F84">
        <v>0</v>
      </c>
      <c r="G84" s="2" t="s">
        <v>293</v>
      </c>
    </row>
    <row r="85" spans="1:7" x14ac:dyDescent="0.25">
      <c r="B85" s="21" t="s">
        <v>286</v>
      </c>
      <c r="C85" s="20" t="s">
        <v>391</v>
      </c>
      <c r="D85">
        <v>1</v>
      </c>
      <c r="E85" s="24" t="s">
        <v>286</v>
      </c>
      <c r="F85">
        <v>4</v>
      </c>
      <c r="G85" s="2" t="s">
        <v>293</v>
      </c>
    </row>
    <row r="86" spans="1:7" x14ac:dyDescent="0.25">
      <c r="B86" s="21" t="s">
        <v>286</v>
      </c>
      <c r="C86" s="20" t="s">
        <v>392</v>
      </c>
      <c r="D86">
        <v>1234</v>
      </c>
      <c r="E86" s="24" t="s">
        <v>286</v>
      </c>
      <c r="F86">
        <v>222</v>
      </c>
      <c r="G86" s="2" t="s">
        <v>293</v>
      </c>
    </row>
    <row r="87" spans="1:7" x14ac:dyDescent="0.25">
      <c r="B87" s="21" t="s">
        <v>286</v>
      </c>
      <c r="C87" s="20" t="s">
        <v>393</v>
      </c>
      <c r="D87">
        <v>-1</v>
      </c>
      <c r="E87" s="24" t="s">
        <v>286</v>
      </c>
      <c r="F87">
        <v>47</v>
      </c>
      <c r="G87" s="2" t="s">
        <v>293</v>
      </c>
    </row>
    <row r="88" spans="1:7" x14ac:dyDescent="0.25">
      <c r="B88" s="21" t="s">
        <v>286</v>
      </c>
      <c r="C88" s="20" t="s">
        <v>394</v>
      </c>
      <c r="D88">
        <v>-90</v>
      </c>
      <c r="E88" s="24" t="s">
        <v>286</v>
      </c>
      <c r="F88">
        <v>41</v>
      </c>
      <c r="G88" s="2" t="s">
        <v>293</v>
      </c>
    </row>
    <row r="89" spans="1:7" x14ac:dyDescent="0.25">
      <c r="B89" s="21" t="s">
        <v>286</v>
      </c>
      <c r="C89" s="20" t="s">
        <v>395</v>
      </c>
      <c r="D89" s="22">
        <v>4294967295</v>
      </c>
      <c r="E89" s="24" t="s">
        <v>286</v>
      </c>
      <c r="F89">
        <v>254</v>
      </c>
      <c r="G89" s="2" t="s">
        <v>293</v>
      </c>
    </row>
    <row r="90" spans="1:7" x14ac:dyDescent="0.25">
      <c r="A90" t="s">
        <v>362</v>
      </c>
      <c r="B90" s="21" t="s">
        <v>286</v>
      </c>
      <c r="C90" s="20" t="s">
        <v>398</v>
      </c>
      <c r="D90">
        <v>57344</v>
      </c>
      <c r="E90" s="24" t="s">
        <v>286</v>
      </c>
      <c r="F90">
        <v>0</v>
      </c>
      <c r="G90" s="2" t="s">
        <v>293</v>
      </c>
    </row>
    <row r="91" spans="1:7" x14ac:dyDescent="0.25">
      <c r="B91" s="21" t="s">
        <v>286</v>
      </c>
      <c r="C91" s="20" t="s">
        <v>399</v>
      </c>
      <c r="D91">
        <v>1</v>
      </c>
      <c r="E91" s="24" t="s">
        <v>286</v>
      </c>
      <c r="F91">
        <v>4</v>
      </c>
      <c r="G91" s="2" t="s">
        <v>293</v>
      </c>
    </row>
    <row r="92" spans="1:7" x14ac:dyDescent="0.25">
      <c r="B92" s="21" t="s">
        <v>286</v>
      </c>
      <c r="C92" s="20" t="s">
        <v>400</v>
      </c>
      <c r="D92">
        <v>1234</v>
      </c>
      <c r="E92" s="24" t="s">
        <v>286</v>
      </c>
      <c r="F92">
        <v>1246</v>
      </c>
      <c r="G92" s="2" t="s">
        <v>293</v>
      </c>
    </row>
    <row r="93" spans="1:7" x14ac:dyDescent="0.25">
      <c r="B93" s="21" t="s">
        <v>286</v>
      </c>
      <c r="C93" s="20" t="s">
        <v>401</v>
      </c>
      <c r="D93">
        <v>-1</v>
      </c>
      <c r="E93" s="24" t="s">
        <v>286</v>
      </c>
      <c r="F93">
        <v>47</v>
      </c>
      <c r="G93" s="2" t="s">
        <v>293</v>
      </c>
    </row>
    <row r="94" spans="1:7" x14ac:dyDescent="0.25">
      <c r="B94" s="21" t="s">
        <v>286</v>
      </c>
      <c r="C94" s="20" t="s">
        <v>397</v>
      </c>
      <c r="D94">
        <v>-90</v>
      </c>
      <c r="E94" s="24" t="s">
        <v>286</v>
      </c>
      <c r="F94">
        <v>297</v>
      </c>
      <c r="G94" s="2" t="s">
        <v>293</v>
      </c>
    </row>
    <row r="95" spans="1:7" x14ac:dyDescent="0.25">
      <c r="B95" s="21" t="s">
        <v>286</v>
      </c>
      <c r="C95" s="20" t="s">
        <v>396</v>
      </c>
      <c r="D95" s="22">
        <v>4294967295</v>
      </c>
      <c r="E95" s="24" t="s">
        <v>286</v>
      </c>
      <c r="F95">
        <v>4094</v>
      </c>
      <c r="G95" s="2" t="s">
        <v>293</v>
      </c>
    </row>
    <row r="96" spans="1:7" x14ac:dyDescent="0.25">
      <c r="A96" t="s">
        <v>363</v>
      </c>
      <c r="B96" s="21" t="s">
        <v>286</v>
      </c>
      <c r="C96" s="20" t="s">
        <v>402</v>
      </c>
      <c r="D96">
        <v>0</v>
      </c>
      <c r="E96" s="24" t="s">
        <v>286</v>
      </c>
      <c r="F96">
        <v>0</v>
      </c>
      <c r="G96" s="2" t="s">
        <v>293</v>
      </c>
    </row>
    <row r="97" spans="1:7" x14ac:dyDescent="0.25">
      <c r="B97" s="21" t="s">
        <v>286</v>
      </c>
      <c r="C97" s="20" t="s">
        <v>403</v>
      </c>
      <c r="D97">
        <v>1</v>
      </c>
      <c r="E97" s="24" t="s">
        <v>286</v>
      </c>
      <c r="F97">
        <v>4</v>
      </c>
      <c r="G97" s="2" t="s">
        <v>293</v>
      </c>
    </row>
    <row r="98" spans="1:7" x14ac:dyDescent="0.25">
      <c r="B98" s="21" t="s">
        <v>286</v>
      </c>
      <c r="C98" s="20" t="s">
        <v>404</v>
      </c>
      <c r="D98">
        <v>1234</v>
      </c>
      <c r="E98" s="24" t="s">
        <v>286</v>
      </c>
      <c r="F98">
        <v>1246</v>
      </c>
      <c r="G98" s="2" t="s">
        <v>293</v>
      </c>
    </row>
    <row r="99" spans="1:7" x14ac:dyDescent="0.25">
      <c r="B99" s="21" t="s">
        <v>286</v>
      </c>
      <c r="C99" s="20" t="s">
        <v>405</v>
      </c>
      <c r="D99">
        <v>-1</v>
      </c>
      <c r="E99" s="24" t="s">
        <v>286</v>
      </c>
      <c r="F99">
        <v>47</v>
      </c>
      <c r="G99" s="2" t="s">
        <v>293</v>
      </c>
    </row>
    <row r="100" spans="1:7" x14ac:dyDescent="0.25">
      <c r="B100" s="21" t="s">
        <v>286</v>
      </c>
      <c r="C100" s="20" t="s">
        <v>406</v>
      </c>
      <c r="D100">
        <v>-90</v>
      </c>
      <c r="E100" s="24" t="s">
        <v>286</v>
      </c>
      <c r="F100">
        <v>297</v>
      </c>
      <c r="G100" s="2" t="s">
        <v>293</v>
      </c>
    </row>
    <row r="101" spans="1:7" x14ac:dyDescent="0.25">
      <c r="B101" s="21" t="s">
        <v>286</v>
      </c>
      <c r="C101" s="20" t="s">
        <v>407</v>
      </c>
      <c r="D101" s="22">
        <v>4294959104</v>
      </c>
      <c r="E101" s="24" t="s">
        <v>286</v>
      </c>
      <c r="F101">
        <v>4094</v>
      </c>
      <c r="G101" s="2" t="s">
        <v>293</v>
      </c>
    </row>
    <row r="102" spans="1:7" x14ac:dyDescent="0.25">
      <c r="A102" t="s">
        <v>364</v>
      </c>
      <c r="B102" s="21" t="s">
        <v>286</v>
      </c>
      <c r="C102" s="20" t="s">
        <v>426</v>
      </c>
      <c r="D102">
        <v>0</v>
      </c>
      <c r="E102" s="24" t="s">
        <v>286</v>
      </c>
      <c r="F102">
        <v>0</v>
      </c>
      <c r="G102" s="2" t="s">
        <v>293</v>
      </c>
    </row>
    <row r="103" spans="1:7" x14ac:dyDescent="0.25">
      <c r="B103" s="21" t="s">
        <v>286</v>
      </c>
      <c r="C103" s="20" t="s">
        <v>427</v>
      </c>
      <c r="D103">
        <v>1</v>
      </c>
      <c r="E103" s="24" t="s">
        <v>286</v>
      </c>
      <c r="F103">
        <v>1</v>
      </c>
      <c r="G103" s="2" t="s">
        <v>293</v>
      </c>
    </row>
    <row r="104" spans="1:7" x14ac:dyDescent="0.25">
      <c r="B104" s="21" t="s">
        <v>286</v>
      </c>
      <c r="C104" s="20" t="s">
        <v>428</v>
      </c>
      <c r="D104">
        <v>1234</v>
      </c>
      <c r="E104" s="24" t="s">
        <v>286</v>
      </c>
      <c r="F104">
        <v>0</v>
      </c>
      <c r="G104" s="2" t="s">
        <v>293</v>
      </c>
    </row>
    <row r="105" spans="1:7" x14ac:dyDescent="0.25">
      <c r="B105" s="21" t="s">
        <v>286</v>
      </c>
      <c r="C105" s="20" t="s">
        <v>429</v>
      </c>
      <c r="D105">
        <v>-1</v>
      </c>
      <c r="E105" s="24" t="s">
        <v>286</v>
      </c>
      <c r="F105">
        <v>1</v>
      </c>
      <c r="G105" s="2" t="s">
        <v>293</v>
      </c>
    </row>
    <row r="106" spans="1:7" x14ac:dyDescent="0.25">
      <c r="B106" s="21" t="s">
        <v>286</v>
      </c>
      <c r="C106" s="20" t="s">
        <v>430</v>
      </c>
      <c r="D106">
        <v>-90</v>
      </c>
      <c r="E106" s="24" t="s">
        <v>286</v>
      </c>
      <c r="F106">
        <v>1</v>
      </c>
      <c r="G106" s="2" t="s">
        <v>293</v>
      </c>
    </row>
    <row r="107" spans="1:7" x14ac:dyDescent="0.25">
      <c r="B107" s="21" t="s">
        <v>286</v>
      </c>
      <c r="C107" s="20" t="s">
        <v>431</v>
      </c>
      <c r="D107" s="22">
        <v>4294967295</v>
      </c>
      <c r="E107" s="24" t="s">
        <v>286</v>
      </c>
      <c r="F107">
        <v>0</v>
      </c>
      <c r="G107" s="2" t="s">
        <v>293</v>
      </c>
    </row>
    <row r="108" spans="1:7" x14ac:dyDescent="0.25">
      <c r="A108" t="s">
        <v>365</v>
      </c>
      <c r="B108" s="21" t="s">
        <v>286</v>
      </c>
      <c r="C108" s="20" t="s">
        <v>432</v>
      </c>
      <c r="D108">
        <v>0</v>
      </c>
      <c r="E108" s="24" t="s">
        <v>286</v>
      </c>
      <c r="F108">
        <v>0</v>
      </c>
      <c r="G108" s="2" t="s">
        <v>293</v>
      </c>
    </row>
    <row r="109" spans="1:7" x14ac:dyDescent="0.25">
      <c r="B109" s="21" t="s">
        <v>286</v>
      </c>
      <c r="C109" s="20" t="s">
        <v>433</v>
      </c>
      <c r="D109">
        <v>1</v>
      </c>
      <c r="E109" s="24" t="s">
        <v>286</v>
      </c>
      <c r="F109">
        <v>1</v>
      </c>
      <c r="G109" s="2" t="s">
        <v>293</v>
      </c>
    </row>
    <row r="110" spans="1:7" x14ac:dyDescent="0.25">
      <c r="B110" s="21" t="s">
        <v>286</v>
      </c>
      <c r="C110" s="20" t="s">
        <v>434</v>
      </c>
      <c r="D110">
        <v>1234</v>
      </c>
      <c r="E110" s="24" t="s">
        <v>286</v>
      </c>
      <c r="F110">
        <v>0</v>
      </c>
      <c r="G110" s="2" t="s">
        <v>293</v>
      </c>
    </row>
    <row r="111" spans="1:7" x14ac:dyDescent="0.25">
      <c r="B111" s="21" t="s">
        <v>286</v>
      </c>
      <c r="C111" s="20" t="s">
        <v>435</v>
      </c>
      <c r="D111">
        <v>-1</v>
      </c>
      <c r="E111" s="24" t="s">
        <v>286</v>
      </c>
      <c r="F111">
        <v>0</v>
      </c>
      <c r="G111" s="2" t="s">
        <v>293</v>
      </c>
    </row>
    <row r="112" spans="1:7" x14ac:dyDescent="0.25">
      <c r="B112" s="21" t="s">
        <v>286</v>
      </c>
      <c r="C112" s="20" t="s">
        <v>436</v>
      </c>
      <c r="D112">
        <v>-90</v>
      </c>
      <c r="E112" s="24" t="s">
        <v>286</v>
      </c>
      <c r="F112">
        <v>0</v>
      </c>
      <c r="G112" s="2" t="s">
        <v>293</v>
      </c>
    </row>
    <row r="113" spans="1:7" x14ac:dyDescent="0.25">
      <c r="B113" s="21" t="s">
        <v>286</v>
      </c>
      <c r="C113" s="20" t="s">
        <v>437</v>
      </c>
      <c r="D113" s="22">
        <v>4294967295</v>
      </c>
      <c r="E113" s="24" t="s">
        <v>286</v>
      </c>
      <c r="F113">
        <v>0</v>
      </c>
      <c r="G113" s="2" t="s">
        <v>293</v>
      </c>
    </row>
    <row r="114" spans="1:7" x14ac:dyDescent="0.25">
      <c r="A114" t="s">
        <v>366</v>
      </c>
      <c r="B114" s="21" t="s">
        <v>286</v>
      </c>
      <c r="C114" s="20" t="s">
        <v>420</v>
      </c>
      <c r="D114">
        <v>0</v>
      </c>
      <c r="E114" s="24" t="s">
        <v>286</v>
      </c>
      <c r="F114">
        <v>0</v>
      </c>
      <c r="G114" s="2" t="s">
        <v>293</v>
      </c>
    </row>
    <row r="115" spans="1:7" x14ac:dyDescent="0.25">
      <c r="B115" s="21" t="s">
        <v>286</v>
      </c>
      <c r="C115" s="20" t="s">
        <v>421</v>
      </c>
      <c r="D115">
        <v>1</v>
      </c>
      <c r="E115" s="24" t="s">
        <v>286</v>
      </c>
      <c r="F115">
        <v>2</v>
      </c>
      <c r="G115" s="2" t="s">
        <v>293</v>
      </c>
    </row>
    <row r="116" spans="1:7" x14ac:dyDescent="0.25">
      <c r="B116" s="21" t="s">
        <v>286</v>
      </c>
      <c r="C116" s="20" t="s">
        <v>422</v>
      </c>
      <c r="D116">
        <v>1234</v>
      </c>
      <c r="E116" s="24" t="s">
        <v>286</v>
      </c>
      <c r="F116">
        <v>1246</v>
      </c>
      <c r="G116" s="2" t="s">
        <v>293</v>
      </c>
    </row>
    <row r="117" spans="1:7" x14ac:dyDescent="0.25">
      <c r="B117" s="21" t="s">
        <v>286</v>
      </c>
      <c r="C117" s="20" t="s">
        <v>423</v>
      </c>
      <c r="D117">
        <v>-1</v>
      </c>
      <c r="E117" s="24" t="s">
        <v>286</v>
      </c>
      <c r="F117">
        <v>4294967247</v>
      </c>
      <c r="G117" s="2" t="s">
        <v>293</v>
      </c>
    </row>
    <row r="118" spans="1:7" x14ac:dyDescent="0.25">
      <c r="B118" s="21" t="s">
        <v>286</v>
      </c>
      <c r="C118" s="20" t="s">
        <v>424</v>
      </c>
      <c r="D118">
        <v>-90</v>
      </c>
      <c r="E118" s="24" t="s">
        <v>286</v>
      </c>
      <c r="F118">
        <v>4294966821</v>
      </c>
      <c r="G118" s="2" t="s">
        <v>293</v>
      </c>
    </row>
    <row r="119" spans="1:7" x14ac:dyDescent="0.25">
      <c r="B119" s="21" t="s">
        <v>286</v>
      </c>
      <c r="C119" s="20" t="s">
        <v>425</v>
      </c>
      <c r="D119" s="22">
        <v>4294967295</v>
      </c>
      <c r="E119" s="24" t="s">
        <v>286</v>
      </c>
      <c r="F119">
        <v>4294963200</v>
      </c>
      <c r="G119" s="2" t="s">
        <v>293</v>
      </c>
    </row>
    <row r="120" spans="1:7" x14ac:dyDescent="0.25">
      <c r="A120" t="s">
        <v>367</v>
      </c>
      <c r="B120" s="21" t="s">
        <v>286</v>
      </c>
      <c r="C120" s="20" t="s">
        <v>414</v>
      </c>
      <c r="D120">
        <v>0</v>
      </c>
      <c r="E120" s="24" t="s">
        <v>286</v>
      </c>
      <c r="F120">
        <v>0</v>
      </c>
      <c r="G120" s="2" t="s">
        <v>293</v>
      </c>
    </row>
    <row r="121" spans="1:7" x14ac:dyDescent="0.25">
      <c r="B121" s="21" t="s">
        <v>286</v>
      </c>
      <c r="C121" s="20" t="s">
        <v>415</v>
      </c>
      <c r="D121">
        <v>1</v>
      </c>
      <c r="E121" s="24" t="s">
        <v>286</v>
      </c>
      <c r="F121">
        <v>3</v>
      </c>
      <c r="G121" s="2" t="s">
        <v>293</v>
      </c>
    </row>
    <row r="122" spans="1:7" x14ac:dyDescent="0.25">
      <c r="B122" s="21" t="s">
        <v>286</v>
      </c>
      <c r="C122" s="20" t="s">
        <v>416</v>
      </c>
      <c r="D122">
        <v>1234</v>
      </c>
      <c r="E122" s="24" t="s">
        <v>286</v>
      </c>
      <c r="F122">
        <v>1246</v>
      </c>
      <c r="G122" s="2" t="s">
        <v>293</v>
      </c>
    </row>
    <row r="123" spans="1:7" x14ac:dyDescent="0.25">
      <c r="B123" s="21" t="s">
        <v>286</v>
      </c>
      <c r="C123" s="20" t="s">
        <v>417</v>
      </c>
      <c r="D123">
        <v>-1</v>
      </c>
      <c r="E123" s="24" t="s">
        <v>286</v>
      </c>
      <c r="F123" s="22">
        <v>4294967295</v>
      </c>
      <c r="G123" s="2" t="s">
        <v>293</v>
      </c>
    </row>
    <row r="124" spans="1:7" x14ac:dyDescent="0.25">
      <c r="B124" s="21" t="s">
        <v>286</v>
      </c>
      <c r="C124" s="20" t="s">
        <v>418</v>
      </c>
      <c r="D124">
        <v>-90</v>
      </c>
      <c r="E124" s="24" t="s">
        <v>286</v>
      </c>
      <c r="F124">
        <v>4294967207</v>
      </c>
      <c r="G124" s="2" t="s">
        <v>293</v>
      </c>
    </row>
    <row r="125" spans="1:7" x14ac:dyDescent="0.25">
      <c r="B125" s="21" t="s">
        <v>286</v>
      </c>
      <c r="C125" s="20" t="s">
        <v>419</v>
      </c>
      <c r="D125" s="22">
        <v>4294967295</v>
      </c>
      <c r="E125" s="24" t="s">
        <v>286</v>
      </c>
      <c r="F125" s="22">
        <v>4294967295</v>
      </c>
      <c r="G125" s="2" t="s">
        <v>293</v>
      </c>
    </row>
    <row r="126" spans="1:7" x14ac:dyDescent="0.25">
      <c r="A126" t="s">
        <v>368</v>
      </c>
      <c r="B126" s="21" t="s">
        <v>286</v>
      </c>
      <c r="C126" s="20" t="s">
        <v>413</v>
      </c>
      <c r="D126">
        <v>0</v>
      </c>
      <c r="E126" s="24" t="s">
        <v>286</v>
      </c>
      <c r="F126">
        <v>0</v>
      </c>
      <c r="G126" s="2" t="s">
        <v>293</v>
      </c>
    </row>
    <row r="127" spans="1:7" x14ac:dyDescent="0.25">
      <c r="B127" s="21" t="s">
        <v>286</v>
      </c>
      <c r="C127" s="20" t="s">
        <v>412</v>
      </c>
      <c r="D127">
        <v>1</v>
      </c>
      <c r="E127" s="24" t="s">
        <v>286</v>
      </c>
      <c r="F127">
        <v>1</v>
      </c>
      <c r="G127" s="2" t="s">
        <v>293</v>
      </c>
    </row>
    <row r="128" spans="1:7" x14ac:dyDescent="0.25">
      <c r="B128" s="21" t="s">
        <v>286</v>
      </c>
      <c r="C128" s="20" t="s">
        <v>411</v>
      </c>
      <c r="D128">
        <v>1234</v>
      </c>
      <c r="E128" s="24" t="s">
        <v>286</v>
      </c>
      <c r="F128">
        <v>0</v>
      </c>
      <c r="G128" s="2" t="s">
        <v>293</v>
      </c>
    </row>
    <row r="129" spans="1:7" x14ac:dyDescent="0.25">
      <c r="B129" s="21" t="s">
        <v>286</v>
      </c>
      <c r="C129" s="20" t="s">
        <v>410</v>
      </c>
      <c r="D129">
        <v>-1</v>
      </c>
      <c r="E129" s="24" t="s">
        <v>286</v>
      </c>
      <c r="F129">
        <f>16+32</f>
        <v>48</v>
      </c>
      <c r="G129" s="2" t="s">
        <v>293</v>
      </c>
    </row>
    <row r="130" spans="1:7" x14ac:dyDescent="0.25">
      <c r="B130" s="21" t="s">
        <v>286</v>
      </c>
      <c r="C130" s="20" t="s">
        <v>409</v>
      </c>
      <c r="D130">
        <v>-90</v>
      </c>
      <c r="E130" s="24" t="s">
        <v>286</v>
      </c>
      <c r="F130">
        <f>2+128+256</f>
        <v>386</v>
      </c>
      <c r="G130" s="2" t="s">
        <v>293</v>
      </c>
    </row>
    <row r="131" spans="1:7" x14ac:dyDescent="0.25">
      <c r="B131" s="21" t="s">
        <v>286</v>
      </c>
      <c r="C131" s="20" t="s">
        <v>408</v>
      </c>
      <c r="D131" s="22">
        <v>4294967295</v>
      </c>
      <c r="E131" s="24" t="s">
        <v>286</v>
      </c>
      <c r="F131">
        <v>4095</v>
      </c>
      <c r="G131" s="2" t="s">
        <v>293</v>
      </c>
    </row>
    <row r="132" spans="1:7" x14ac:dyDescent="0.25">
      <c r="A132" t="s">
        <v>369</v>
      </c>
      <c r="B132" s="21" t="s">
        <v>286</v>
      </c>
      <c r="C132" t="s">
        <v>438</v>
      </c>
      <c r="D132">
        <v>0</v>
      </c>
      <c r="E132" s="24" t="s">
        <v>286</v>
      </c>
      <c r="F132">
        <v>0</v>
      </c>
      <c r="G132" s="2" t="s">
        <v>293</v>
      </c>
    </row>
    <row r="133" spans="1:7" x14ac:dyDescent="0.25">
      <c r="B133" s="21" t="s">
        <v>286</v>
      </c>
      <c r="C133" t="s">
        <v>444</v>
      </c>
      <c r="D133">
        <v>1</v>
      </c>
      <c r="E133" s="24" t="s">
        <v>286</v>
      </c>
      <c r="F133">
        <v>2</v>
      </c>
      <c r="G133" s="2" t="s">
        <v>293</v>
      </c>
    </row>
    <row r="134" spans="1:7" x14ac:dyDescent="0.25">
      <c r="B134" s="21" t="s">
        <v>286</v>
      </c>
      <c r="C134" t="s">
        <v>445</v>
      </c>
      <c r="D134">
        <v>1234</v>
      </c>
      <c r="E134" s="24" t="s">
        <v>286</v>
      </c>
      <c r="F134">
        <v>9872</v>
      </c>
      <c r="G134" s="2" t="s">
        <v>293</v>
      </c>
    </row>
    <row r="135" spans="1:7" x14ac:dyDescent="0.25">
      <c r="B135" s="21" t="s">
        <v>286</v>
      </c>
      <c r="C135" t="s">
        <v>442</v>
      </c>
      <c r="D135">
        <v>-1</v>
      </c>
      <c r="E135" s="24" t="s">
        <v>286</v>
      </c>
      <c r="F135">
        <v>4294967168</v>
      </c>
      <c r="G135" s="2" t="s">
        <v>293</v>
      </c>
    </row>
    <row r="136" spans="1:7" x14ac:dyDescent="0.25">
      <c r="B136" s="21" t="s">
        <v>286</v>
      </c>
      <c r="C136" t="s">
        <v>446</v>
      </c>
      <c r="D136">
        <v>-90</v>
      </c>
      <c r="E136" s="24" t="s">
        <v>286</v>
      </c>
      <c r="F136">
        <v>2144534528</v>
      </c>
      <c r="G136" s="2" t="s">
        <v>293</v>
      </c>
    </row>
    <row r="137" spans="1:7" x14ac:dyDescent="0.25">
      <c r="B137" s="21" t="s">
        <v>286</v>
      </c>
      <c r="C137" t="s">
        <v>440</v>
      </c>
      <c r="D137" s="22">
        <v>4294967295</v>
      </c>
      <c r="E137" s="24" t="s">
        <v>286</v>
      </c>
      <c r="F137">
        <v>2147483648</v>
      </c>
      <c r="G137" s="2" t="s">
        <v>293</v>
      </c>
    </row>
    <row r="138" spans="1:7" x14ac:dyDescent="0.25">
      <c r="A138" t="s">
        <v>370</v>
      </c>
      <c r="B138" s="21" t="s">
        <v>286</v>
      </c>
      <c r="C138" t="s">
        <v>439</v>
      </c>
      <c r="D138">
        <v>0</v>
      </c>
      <c r="E138" s="24" t="s">
        <v>286</v>
      </c>
      <c r="F138">
        <v>0</v>
      </c>
      <c r="G138" s="2" t="s">
        <v>293</v>
      </c>
    </row>
    <row r="139" spans="1:7" x14ac:dyDescent="0.25">
      <c r="B139" s="21" t="s">
        <v>286</v>
      </c>
      <c r="C139" t="s">
        <v>447</v>
      </c>
      <c r="D139">
        <v>1</v>
      </c>
      <c r="E139" s="24" t="s">
        <v>286</v>
      </c>
      <c r="F139">
        <v>0</v>
      </c>
      <c r="G139" s="2" t="s">
        <v>293</v>
      </c>
    </row>
    <row r="140" spans="1:7" x14ac:dyDescent="0.25">
      <c r="B140" s="21" t="s">
        <v>286</v>
      </c>
      <c r="C140" t="s">
        <v>448</v>
      </c>
      <c r="D140">
        <v>1234</v>
      </c>
      <c r="E140" s="24" t="s">
        <v>286</v>
      </c>
      <c r="F140">
        <v>154</v>
      </c>
      <c r="G140" s="2" t="s">
        <v>293</v>
      </c>
    </row>
    <row r="141" spans="1:7" x14ac:dyDescent="0.25">
      <c r="B141" s="21" t="s">
        <v>286</v>
      </c>
      <c r="C141" t="s">
        <v>443</v>
      </c>
      <c r="D141">
        <v>-1</v>
      </c>
      <c r="E141" s="24" t="s">
        <v>286</v>
      </c>
      <c r="F141">
        <v>134217727</v>
      </c>
      <c r="G141" s="2" t="s">
        <v>293</v>
      </c>
    </row>
    <row r="142" spans="1:7" x14ac:dyDescent="0.25">
      <c r="B142" s="21" t="s">
        <v>286</v>
      </c>
      <c r="C142" t="s">
        <v>449</v>
      </c>
      <c r="D142">
        <v>-90</v>
      </c>
      <c r="E142" s="24" t="s">
        <v>286</v>
      </c>
      <c r="F142">
        <v>131071</v>
      </c>
      <c r="G142" s="2" t="s">
        <v>293</v>
      </c>
    </row>
    <row r="143" spans="1:7" x14ac:dyDescent="0.25">
      <c r="B143" s="21" t="s">
        <v>286</v>
      </c>
      <c r="C143" t="s">
        <v>441</v>
      </c>
      <c r="D143" s="22">
        <v>4294967295</v>
      </c>
      <c r="E143" s="24" t="s">
        <v>286</v>
      </c>
      <c r="F143">
        <v>1</v>
      </c>
      <c r="G143" s="2" t="s">
        <v>293</v>
      </c>
    </row>
    <row r="144" spans="1:7" x14ac:dyDescent="0.25">
      <c r="A144" t="s">
        <v>371</v>
      </c>
      <c r="B144" s="21" t="s">
        <v>286</v>
      </c>
      <c r="C144" t="s">
        <v>456</v>
      </c>
      <c r="D144">
        <v>1</v>
      </c>
      <c r="E144" s="24" t="s">
        <v>286</v>
      </c>
      <c r="F144">
        <v>1</v>
      </c>
      <c r="G144" s="2" t="s">
        <v>293</v>
      </c>
    </row>
    <row r="145" spans="1:7" x14ac:dyDescent="0.25">
      <c r="B145" s="21" t="s">
        <v>286</v>
      </c>
      <c r="C145" t="s">
        <v>457</v>
      </c>
      <c r="D145">
        <v>1</v>
      </c>
      <c r="E145" s="24" t="s">
        <v>286</v>
      </c>
      <c r="F145">
        <v>0</v>
      </c>
      <c r="G145" s="2" t="s">
        <v>293</v>
      </c>
    </row>
    <row r="146" spans="1:7" x14ac:dyDescent="0.25">
      <c r="B146" s="21" t="s">
        <v>286</v>
      </c>
      <c r="C146" t="s">
        <v>458</v>
      </c>
      <c r="D146">
        <v>1234</v>
      </c>
      <c r="E146" s="24" t="s">
        <v>286</v>
      </c>
      <c r="F146">
        <v>154</v>
      </c>
      <c r="G146" s="2" t="s">
        <v>293</v>
      </c>
    </row>
    <row r="147" spans="1:7" x14ac:dyDescent="0.25">
      <c r="B147" s="21" t="s">
        <v>286</v>
      </c>
      <c r="C147" t="s">
        <v>459</v>
      </c>
      <c r="D147">
        <v>-1</v>
      </c>
      <c r="E147" s="24" t="s">
        <v>286</v>
      </c>
      <c r="F147">
        <v>-1</v>
      </c>
      <c r="G147" s="2" t="s">
        <v>293</v>
      </c>
    </row>
    <row r="148" spans="1:7" x14ac:dyDescent="0.25">
      <c r="B148" s="21" t="s">
        <v>286</v>
      </c>
      <c r="C148" t="s">
        <v>460</v>
      </c>
      <c r="D148">
        <v>-90</v>
      </c>
      <c r="E148" s="24" t="s">
        <v>286</v>
      </c>
      <c r="F148">
        <v>-1</v>
      </c>
      <c r="G148" s="2" t="s">
        <v>293</v>
      </c>
    </row>
    <row r="149" spans="1:7" x14ac:dyDescent="0.25">
      <c r="B149" s="21" t="s">
        <v>286</v>
      </c>
      <c r="C149" t="s">
        <v>461</v>
      </c>
      <c r="D149" s="22">
        <v>4294967295</v>
      </c>
      <c r="E149" s="24" t="s">
        <v>286</v>
      </c>
      <c r="F149">
        <v>-1</v>
      </c>
      <c r="G149" s="2" t="s">
        <v>293</v>
      </c>
    </row>
    <row r="150" spans="1:7" x14ac:dyDescent="0.25">
      <c r="A150" t="s">
        <v>316</v>
      </c>
      <c r="B150" s="21" t="s">
        <v>286</v>
      </c>
      <c r="C150" t="s">
        <v>341</v>
      </c>
      <c r="D150" t="s">
        <v>286</v>
      </c>
      <c r="E150" s="24">
        <v>1</v>
      </c>
      <c r="F150">
        <v>1</v>
      </c>
      <c r="G150" s="2" t="s">
        <v>293</v>
      </c>
    </row>
    <row r="151" spans="1:7" x14ac:dyDescent="0.25">
      <c r="A151" t="s">
        <v>339</v>
      </c>
      <c r="B151" s="21" t="s">
        <v>286</v>
      </c>
      <c r="C151" t="s">
        <v>343</v>
      </c>
      <c r="D151" t="s">
        <v>286</v>
      </c>
      <c r="E151" s="24">
        <v>10</v>
      </c>
      <c r="F151">
        <v>10</v>
      </c>
      <c r="G151" s="2" t="s">
        <v>293</v>
      </c>
    </row>
    <row r="152" spans="1:7" x14ac:dyDescent="0.25">
      <c r="A152" t="s">
        <v>340</v>
      </c>
      <c r="B152" s="21" t="s">
        <v>286</v>
      </c>
      <c r="C152" t="s">
        <v>344</v>
      </c>
      <c r="D152" t="s">
        <v>286</v>
      </c>
      <c r="E152" s="24">
        <v>100</v>
      </c>
      <c r="F152">
        <v>100</v>
      </c>
      <c r="G152" s="2" t="s">
        <v>293</v>
      </c>
    </row>
    <row r="153" spans="1:7" x14ac:dyDescent="0.25">
      <c r="B153" s="21" t="s">
        <v>286</v>
      </c>
      <c r="C153" t="s">
        <v>345</v>
      </c>
      <c r="D153" t="s">
        <v>286</v>
      </c>
      <c r="E153" s="24">
        <v>10000</v>
      </c>
      <c r="F153">
        <v>16</v>
      </c>
      <c r="G153" s="2" t="s">
        <v>293</v>
      </c>
    </row>
    <row r="154" spans="1:7" x14ac:dyDescent="0.25">
      <c r="B154" s="21" t="s">
        <v>286</v>
      </c>
      <c r="C154" t="s">
        <v>347</v>
      </c>
      <c r="D154" t="s">
        <v>286</v>
      </c>
      <c r="E154" s="24">
        <v>100000</v>
      </c>
      <c r="F154">
        <v>160</v>
      </c>
      <c r="G154" s="2" t="s">
        <v>293</v>
      </c>
    </row>
    <row r="155" spans="1:7" x14ac:dyDescent="0.25">
      <c r="B155" s="21" t="s">
        <v>286</v>
      </c>
      <c r="C155" t="s">
        <v>346</v>
      </c>
      <c r="D155" t="s">
        <v>286</v>
      </c>
      <c r="E155" s="22">
        <v>4294967295</v>
      </c>
      <c r="F155">
        <v>255</v>
      </c>
      <c r="G155" s="2" t="s">
        <v>293</v>
      </c>
    </row>
    <row r="156" spans="1:7" x14ac:dyDescent="0.25">
      <c r="A156" t="s">
        <v>317</v>
      </c>
      <c r="B156" s="21" t="s">
        <v>286</v>
      </c>
      <c r="C156" t="s">
        <v>342</v>
      </c>
      <c r="D156" t="s">
        <v>286</v>
      </c>
      <c r="E156" s="24">
        <v>1</v>
      </c>
      <c r="F156">
        <v>1</v>
      </c>
      <c r="G156" s="2" t="s">
        <v>293</v>
      </c>
    </row>
    <row r="157" spans="1:7" x14ac:dyDescent="0.25">
      <c r="A157" t="s">
        <v>339</v>
      </c>
      <c r="B157" s="21" t="s">
        <v>286</v>
      </c>
      <c r="C157" t="s">
        <v>348</v>
      </c>
      <c r="D157" t="s">
        <v>286</v>
      </c>
      <c r="E157" s="24">
        <v>10</v>
      </c>
      <c r="F157">
        <v>10</v>
      </c>
      <c r="G157" s="2" t="s">
        <v>293</v>
      </c>
    </row>
    <row r="158" spans="1:7" x14ac:dyDescent="0.25">
      <c r="A158" t="s">
        <v>340</v>
      </c>
      <c r="B158" s="21" t="s">
        <v>286</v>
      </c>
      <c r="C158" t="s">
        <v>349</v>
      </c>
      <c r="D158" t="s">
        <v>286</v>
      </c>
      <c r="E158" s="24">
        <v>100</v>
      </c>
      <c r="F158">
        <v>100</v>
      </c>
      <c r="G158" s="2" t="s">
        <v>293</v>
      </c>
    </row>
    <row r="159" spans="1:7" x14ac:dyDescent="0.25">
      <c r="B159" s="21" t="s">
        <v>286</v>
      </c>
      <c r="C159" t="s">
        <v>350</v>
      </c>
      <c r="D159" t="s">
        <v>286</v>
      </c>
      <c r="E159" s="24">
        <v>10000</v>
      </c>
      <c r="F159">
        <v>10000</v>
      </c>
      <c r="G159" s="2" t="s">
        <v>293</v>
      </c>
    </row>
    <row r="160" spans="1:7" x14ac:dyDescent="0.25">
      <c r="B160" s="21" t="s">
        <v>286</v>
      </c>
      <c r="C160" t="s">
        <v>351</v>
      </c>
      <c r="D160" t="s">
        <v>286</v>
      </c>
      <c r="E160" s="24">
        <v>100000</v>
      </c>
      <c r="F160">
        <v>34464</v>
      </c>
      <c r="G160" s="2" t="s">
        <v>293</v>
      </c>
    </row>
    <row r="161" spans="1:7" x14ac:dyDescent="0.25">
      <c r="B161" s="21" t="s">
        <v>286</v>
      </c>
      <c r="C161" t="s">
        <v>352</v>
      </c>
      <c r="D161" t="s">
        <v>286</v>
      </c>
      <c r="E161" s="22">
        <v>4294967295</v>
      </c>
      <c r="F161">
        <v>65535</v>
      </c>
      <c r="G161" s="2" t="s">
        <v>293</v>
      </c>
    </row>
    <row r="162" spans="1:7" x14ac:dyDescent="0.25">
      <c r="A162" t="s">
        <v>315</v>
      </c>
      <c r="B162" s="21" t="s">
        <v>286</v>
      </c>
      <c r="C162" t="s">
        <v>338</v>
      </c>
      <c r="D162" t="s">
        <v>286</v>
      </c>
      <c r="E162" s="24">
        <v>1</v>
      </c>
      <c r="F162">
        <v>1</v>
      </c>
      <c r="G162" s="2" t="s">
        <v>293</v>
      </c>
    </row>
    <row r="163" spans="1:7" x14ac:dyDescent="0.25">
      <c r="A163" t="s">
        <v>339</v>
      </c>
      <c r="B163" s="21" t="s">
        <v>286</v>
      </c>
      <c r="C163" t="s">
        <v>353</v>
      </c>
      <c r="D163" t="s">
        <v>286</v>
      </c>
      <c r="E163" s="24">
        <v>10</v>
      </c>
      <c r="F163">
        <v>10</v>
      </c>
      <c r="G163" s="2" t="s">
        <v>293</v>
      </c>
    </row>
    <row r="164" spans="1:7" x14ac:dyDescent="0.25">
      <c r="A164" t="s">
        <v>340</v>
      </c>
      <c r="B164" s="21" t="s">
        <v>286</v>
      </c>
      <c r="C164" t="s">
        <v>354</v>
      </c>
      <c r="D164" t="s">
        <v>286</v>
      </c>
      <c r="E164" s="24">
        <v>100</v>
      </c>
      <c r="F164">
        <v>100</v>
      </c>
      <c r="G164" s="2" t="s">
        <v>293</v>
      </c>
    </row>
    <row r="165" spans="1:7" x14ac:dyDescent="0.25">
      <c r="B165" s="21" t="s">
        <v>286</v>
      </c>
      <c r="C165" t="s">
        <v>355</v>
      </c>
      <c r="D165" t="s">
        <v>286</v>
      </c>
      <c r="E165" s="24">
        <v>10000</v>
      </c>
      <c r="F165">
        <v>10000</v>
      </c>
      <c r="G165" s="2" t="s">
        <v>293</v>
      </c>
    </row>
    <row r="166" spans="1:7" x14ac:dyDescent="0.25">
      <c r="B166" s="21" t="s">
        <v>286</v>
      </c>
      <c r="C166" t="s">
        <v>356</v>
      </c>
      <c r="D166" t="s">
        <v>286</v>
      </c>
      <c r="E166" s="24">
        <v>100000</v>
      </c>
      <c r="F166">
        <v>100000</v>
      </c>
      <c r="G166" s="2" t="s">
        <v>293</v>
      </c>
    </row>
    <row r="167" spans="1:7" x14ac:dyDescent="0.25">
      <c r="B167" s="21" t="s">
        <v>286</v>
      </c>
      <c r="C167" t="s">
        <v>357</v>
      </c>
      <c r="D167" t="s">
        <v>286</v>
      </c>
      <c r="E167" s="22">
        <v>4294967295</v>
      </c>
      <c r="F167" s="22">
        <v>4294967295</v>
      </c>
      <c r="G167" s="2" t="s">
        <v>293</v>
      </c>
    </row>
    <row r="168" spans="1:7" x14ac:dyDescent="0.25">
      <c r="A168" t="s">
        <v>314</v>
      </c>
      <c r="B168" s="21" t="s">
        <v>286</v>
      </c>
      <c r="C168" t="s">
        <v>333</v>
      </c>
      <c r="D168">
        <v>55</v>
      </c>
      <c r="E168" s="24" t="s">
        <v>286</v>
      </c>
      <c r="F168">
        <v>54</v>
      </c>
      <c r="G168" s="2" t="s">
        <v>293</v>
      </c>
    </row>
    <row r="169" spans="1:7" x14ac:dyDescent="0.25">
      <c r="A169" t="s">
        <v>332</v>
      </c>
      <c r="B169" s="21" t="s">
        <v>286</v>
      </c>
      <c r="C169" t="s">
        <v>334</v>
      </c>
      <c r="D169">
        <f>D168*3</f>
        <v>165</v>
      </c>
      <c r="E169" s="24" t="s">
        <v>286</v>
      </c>
      <c r="F169">
        <v>180</v>
      </c>
      <c r="G169" s="2" t="s">
        <v>293</v>
      </c>
    </row>
    <row r="170" spans="1:7" x14ac:dyDescent="0.25">
      <c r="B170" s="21" t="s">
        <v>286</v>
      </c>
      <c r="C170" t="s">
        <v>335</v>
      </c>
      <c r="D170">
        <f t="shared" ref="D170:D173" si="0">D169*3</f>
        <v>495</v>
      </c>
      <c r="E170" s="24" t="s">
        <v>286</v>
      </c>
      <c r="F170">
        <v>734</v>
      </c>
      <c r="G170" s="2" t="s">
        <v>293</v>
      </c>
    </row>
    <row r="171" spans="1:7" x14ac:dyDescent="0.25">
      <c r="B171" s="21" t="s">
        <v>286</v>
      </c>
      <c r="C171" t="s">
        <v>336</v>
      </c>
      <c r="D171">
        <f t="shared" si="0"/>
        <v>1485</v>
      </c>
      <c r="E171" s="24" t="s">
        <v>286</v>
      </c>
      <c r="F171">
        <v>5324</v>
      </c>
      <c r="G171" s="2" t="s">
        <v>293</v>
      </c>
    </row>
    <row r="172" spans="1:7" x14ac:dyDescent="0.25">
      <c r="B172" s="21" t="s">
        <v>286</v>
      </c>
      <c r="C172" t="s">
        <v>337</v>
      </c>
      <c r="D172">
        <f t="shared" si="0"/>
        <v>4455</v>
      </c>
      <c r="E172" s="24" t="s">
        <v>286</v>
      </c>
      <c r="F172">
        <v>8550</v>
      </c>
      <c r="G172" s="2" t="s">
        <v>293</v>
      </c>
    </row>
    <row r="173" spans="1:7" x14ac:dyDescent="0.25">
      <c r="B173" s="21" t="s">
        <v>286</v>
      </c>
      <c r="C173" t="s">
        <v>333</v>
      </c>
      <c r="D173">
        <f t="shared" si="0"/>
        <v>13365</v>
      </c>
      <c r="E173" s="24" t="s">
        <v>286</v>
      </c>
      <c r="F173">
        <v>13364</v>
      </c>
      <c r="G173" s="2" t="s">
        <v>293</v>
      </c>
    </row>
    <row r="174" spans="1:7" x14ac:dyDescent="0.25">
      <c r="A174" t="s">
        <v>313</v>
      </c>
      <c r="B174" s="21" t="s">
        <v>286</v>
      </c>
      <c r="C174" t="s">
        <v>320</v>
      </c>
      <c r="D174" t="s">
        <v>286</v>
      </c>
      <c r="E174" s="24" t="s">
        <v>286</v>
      </c>
      <c r="F174">
        <v>28672</v>
      </c>
      <c r="G174" s="2" t="s">
        <v>293</v>
      </c>
    </row>
    <row r="175" spans="1:7" x14ac:dyDescent="0.25">
      <c r="A175" t="s">
        <v>318</v>
      </c>
      <c r="B175" s="21" t="s">
        <v>286</v>
      </c>
      <c r="C175" t="s">
        <v>321</v>
      </c>
      <c r="D175" t="s">
        <v>286</v>
      </c>
      <c r="E175" s="24" t="s">
        <v>286</v>
      </c>
      <c r="F175">
        <v>458752</v>
      </c>
      <c r="G175" s="2" t="s">
        <v>293</v>
      </c>
    </row>
    <row r="176" spans="1:7" x14ac:dyDescent="0.25">
      <c r="B176" s="21" t="s">
        <v>286</v>
      </c>
      <c r="C176" t="s">
        <v>322</v>
      </c>
      <c r="D176" t="s">
        <v>286</v>
      </c>
      <c r="E176" s="24" t="s">
        <v>286</v>
      </c>
      <c r="F176">
        <v>4235264</v>
      </c>
      <c r="G176" s="2" t="s">
        <v>293</v>
      </c>
    </row>
    <row r="177" spans="1:7" x14ac:dyDescent="0.25">
      <c r="B177" s="21" t="s">
        <v>286</v>
      </c>
      <c r="C177" t="s">
        <v>323</v>
      </c>
      <c r="D177" t="s">
        <v>286</v>
      </c>
      <c r="E177" s="24" t="s">
        <v>286</v>
      </c>
      <c r="F177">
        <v>3769540608</v>
      </c>
      <c r="G177" s="2" t="s">
        <v>293</v>
      </c>
    </row>
    <row r="178" spans="1:7" x14ac:dyDescent="0.25">
      <c r="B178" s="21" t="s">
        <v>286</v>
      </c>
      <c r="C178" t="s">
        <v>324</v>
      </c>
      <c r="D178" t="s">
        <v>286</v>
      </c>
      <c r="E178" s="24" t="s">
        <v>286</v>
      </c>
      <c r="F178">
        <v>0</v>
      </c>
      <c r="G178" s="2" t="s">
        <v>293</v>
      </c>
    </row>
    <row r="179" spans="1:7" x14ac:dyDescent="0.25">
      <c r="B179" s="21" t="s">
        <v>286</v>
      </c>
      <c r="C179" t="s">
        <v>325</v>
      </c>
      <c r="D179" t="s">
        <v>286</v>
      </c>
      <c r="E179" s="24" t="s">
        <v>286</v>
      </c>
      <c r="F179">
        <v>2863308800</v>
      </c>
      <c r="G179" s="2" t="s">
        <v>293</v>
      </c>
    </row>
    <row r="180" spans="1:7" x14ac:dyDescent="0.25">
      <c r="A180" t="s">
        <v>312</v>
      </c>
      <c r="B180" s="24">
        <v>5</v>
      </c>
      <c r="C180" t="s">
        <v>467</v>
      </c>
      <c r="D180" t="s">
        <v>286</v>
      </c>
      <c r="E180" s="24" t="s">
        <v>286</v>
      </c>
      <c r="F180">
        <v>28677</v>
      </c>
      <c r="G180" s="2" t="s">
        <v>293</v>
      </c>
    </row>
    <row r="181" spans="1:7" x14ac:dyDescent="0.25">
      <c r="A181" t="s">
        <v>319</v>
      </c>
      <c r="B181" s="24">
        <v>25</v>
      </c>
      <c r="C181" t="s">
        <v>468</v>
      </c>
      <c r="D181" t="s">
        <v>286</v>
      </c>
      <c r="E181" s="24" t="s">
        <v>286</v>
      </c>
      <c r="F181">
        <v>458777</v>
      </c>
      <c r="G181" s="2" t="s">
        <v>293</v>
      </c>
    </row>
    <row r="182" spans="1:7" x14ac:dyDescent="0.25">
      <c r="B182" s="24">
        <v>125</v>
      </c>
      <c r="C182" t="s">
        <v>469</v>
      </c>
      <c r="D182" t="s">
        <v>286</v>
      </c>
      <c r="E182" s="24" t="s">
        <v>286</v>
      </c>
      <c r="F182">
        <v>4235389</v>
      </c>
      <c r="G182" s="2" t="s">
        <v>293</v>
      </c>
    </row>
    <row r="183" spans="1:7" x14ac:dyDescent="0.25">
      <c r="B183" s="24">
        <v>625</v>
      </c>
      <c r="C183" t="s">
        <v>470</v>
      </c>
      <c r="D183" t="s">
        <v>286</v>
      </c>
      <c r="E183" s="24" t="s">
        <v>286</v>
      </c>
      <c r="F183">
        <v>3769541233</v>
      </c>
      <c r="G183" s="2" t="s">
        <v>293</v>
      </c>
    </row>
    <row r="184" spans="1:7" x14ac:dyDescent="0.25">
      <c r="B184" s="24">
        <f>B183*5</f>
        <v>3125</v>
      </c>
      <c r="C184" t="s">
        <v>471</v>
      </c>
      <c r="D184" t="s">
        <v>286</v>
      </c>
      <c r="E184" s="24" t="s">
        <v>286</v>
      </c>
      <c r="F184">
        <v>3125</v>
      </c>
      <c r="G184" s="2" t="s">
        <v>293</v>
      </c>
    </row>
    <row r="185" spans="1:7" x14ac:dyDescent="0.25">
      <c r="B185" s="24">
        <f>B184*5</f>
        <v>15625</v>
      </c>
      <c r="C185" t="s">
        <v>472</v>
      </c>
      <c r="D185" t="s">
        <v>286</v>
      </c>
      <c r="E185" s="24" t="s">
        <v>286</v>
      </c>
      <c r="F185">
        <v>11453250825</v>
      </c>
      <c r="G185" s="2" t="s">
        <v>293</v>
      </c>
    </row>
    <row r="186" spans="1:7" x14ac:dyDescent="0.25">
      <c r="A186" t="s">
        <v>311</v>
      </c>
      <c r="B186" s="24">
        <v>4</v>
      </c>
      <c r="C186" t="s">
        <v>327</v>
      </c>
      <c r="D186" t="s">
        <v>286</v>
      </c>
      <c r="E186" s="24" t="s">
        <v>286</v>
      </c>
      <c r="F186">
        <v>28676</v>
      </c>
      <c r="G186" s="2" t="s">
        <v>293</v>
      </c>
    </row>
    <row r="187" spans="1:7" x14ac:dyDescent="0.25">
      <c r="A187" t="s">
        <v>318</v>
      </c>
      <c r="B187" s="24">
        <f>B186*5</f>
        <v>20</v>
      </c>
      <c r="C187" t="s">
        <v>326</v>
      </c>
      <c r="D187" t="s">
        <v>286</v>
      </c>
      <c r="E187" s="24" t="s">
        <v>286</v>
      </c>
      <c r="F187">
        <v>458772</v>
      </c>
      <c r="G187" s="2" t="s">
        <v>293</v>
      </c>
    </row>
    <row r="188" spans="1:7" x14ac:dyDescent="0.25">
      <c r="B188" s="24">
        <f t="shared" ref="B188:B191" si="1">B187*5</f>
        <v>100</v>
      </c>
      <c r="C188" t="s">
        <v>331</v>
      </c>
      <c r="D188" t="s">
        <v>286</v>
      </c>
      <c r="E188" s="24" t="s">
        <v>286</v>
      </c>
      <c r="F188">
        <v>82024</v>
      </c>
      <c r="G188" s="2" t="s">
        <v>293</v>
      </c>
    </row>
    <row r="189" spans="1:7" x14ac:dyDescent="0.25">
      <c r="B189" s="24">
        <f t="shared" si="1"/>
        <v>500</v>
      </c>
      <c r="C189" t="s">
        <v>330</v>
      </c>
      <c r="D189" t="s">
        <v>286</v>
      </c>
      <c r="E189" s="24" t="s">
        <v>286</v>
      </c>
      <c r="G189" s="2" t="s">
        <v>464</v>
      </c>
    </row>
    <row r="190" spans="1:7" x14ac:dyDescent="0.25">
      <c r="B190" s="24">
        <f t="shared" si="1"/>
        <v>2500</v>
      </c>
      <c r="C190" t="s">
        <v>329</v>
      </c>
      <c r="D190" t="s">
        <v>286</v>
      </c>
      <c r="E190" s="24" t="s">
        <v>286</v>
      </c>
      <c r="G190" s="2" t="s">
        <v>464</v>
      </c>
    </row>
    <row r="191" spans="1:7" x14ac:dyDescent="0.25">
      <c r="B191" s="24">
        <f t="shared" si="1"/>
        <v>12500</v>
      </c>
      <c r="C191" t="s">
        <v>328</v>
      </c>
      <c r="D191" t="s">
        <v>286</v>
      </c>
      <c r="E191" s="24" t="s">
        <v>286</v>
      </c>
      <c r="G191" s="2" t="s">
        <v>464</v>
      </c>
    </row>
  </sheetData>
  <phoneticPr fontId="3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6" zoomScale="107" zoomScaleNormal="180" workbookViewId="0">
      <selection activeCell="B12" sqref="B12"/>
    </sheetView>
  </sheetViews>
  <sheetFormatPr defaultColWidth="11.6328125" defaultRowHeight="12.5" x14ac:dyDescent="0.25"/>
  <cols>
    <col min="1" max="1" width="7.90625" style="3" customWidth="1"/>
    <col min="3" max="3" width="22.81640625" customWidth="1"/>
  </cols>
  <sheetData>
    <row r="1" spans="1:4" x14ac:dyDescent="0.25">
      <c r="A1" s="3" t="s">
        <v>143</v>
      </c>
      <c r="B1" t="s">
        <v>144</v>
      </c>
      <c r="C1" t="s">
        <v>145</v>
      </c>
      <c r="D1" t="s">
        <v>146</v>
      </c>
    </row>
    <row r="2" spans="1:4" x14ac:dyDescent="0.25">
      <c r="A2" s="3">
        <v>0</v>
      </c>
      <c r="B2" t="s">
        <v>147</v>
      </c>
      <c r="C2" t="s">
        <v>148</v>
      </c>
    </row>
    <row r="3" spans="1:4" x14ac:dyDescent="0.25">
      <c r="A3" s="3">
        <f t="shared" ref="A3:A33" si="0">A2+1</f>
        <v>1</v>
      </c>
      <c r="B3" t="s">
        <v>149</v>
      </c>
      <c r="C3" t="s">
        <v>150</v>
      </c>
      <c r="D3" t="s">
        <v>151</v>
      </c>
    </row>
    <row r="4" spans="1:4" x14ac:dyDescent="0.25">
      <c r="A4" s="3">
        <f t="shared" si="0"/>
        <v>2</v>
      </c>
      <c r="B4" t="s">
        <v>152</v>
      </c>
      <c r="C4" t="s">
        <v>153</v>
      </c>
      <c r="D4" t="s">
        <v>154</v>
      </c>
    </row>
    <row r="5" spans="1:4" x14ac:dyDescent="0.25">
      <c r="A5" s="3">
        <f t="shared" si="0"/>
        <v>3</v>
      </c>
      <c r="B5" t="s">
        <v>155</v>
      </c>
      <c r="C5" t="s">
        <v>156</v>
      </c>
    </row>
    <row r="6" spans="1:4" x14ac:dyDescent="0.25">
      <c r="A6" s="3">
        <f t="shared" si="0"/>
        <v>4</v>
      </c>
      <c r="B6" t="s">
        <v>157</v>
      </c>
      <c r="C6" t="s">
        <v>158</v>
      </c>
    </row>
    <row r="7" spans="1:4" x14ac:dyDescent="0.25">
      <c r="A7" s="3">
        <f t="shared" si="0"/>
        <v>5</v>
      </c>
      <c r="B7" t="s">
        <v>159</v>
      </c>
      <c r="C7" t="s">
        <v>160</v>
      </c>
      <c r="D7" t="s">
        <v>151</v>
      </c>
    </row>
    <row r="8" spans="1:4" x14ac:dyDescent="0.25">
      <c r="A8" s="3">
        <f t="shared" si="0"/>
        <v>6</v>
      </c>
      <c r="B8" t="s">
        <v>161</v>
      </c>
      <c r="C8" t="s">
        <v>162</v>
      </c>
      <c r="D8" t="s">
        <v>151</v>
      </c>
    </row>
    <row r="9" spans="1:4" x14ac:dyDescent="0.25">
      <c r="A9" s="3">
        <f t="shared" si="0"/>
        <v>7</v>
      </c>
      <c r="B9" t="s">
        <v>163</v>
      </c>
      <c r="C9" t="s">
        <v>162</v>
      </c>
      <c r="D9" t="s">
        <v>151</v>
      </c>
    </row>
    <row r="10" spans="1:4" x14ac:dyDescent="0.25">
      <c r="A10" s="3">
        <f t="shared" si="0"/>
        <v>8</v>
      </c>
      <c r="B10" t="s">
        <v>164</v>
      </c>
      <c r="C10" t="s">
        <v>165</v>
      </c>
      <c r="D10" t="s">
        <v>154</v>
      </c>
    </row>
    <row r="11" spans="1:4" x14ac:dyDescent="0.25">
      <c r="A11" s="3">
        <f t="shared" si="0"/>
        <v>9</v>
      </c>
      <c r="B11" t="s">
        <v>166</v>
      </c>
      <c r="C11" t="s">
        <v>167</v>
      </c>
      <c r="D11" t="s">
        <v>154</v>
      </c>
    </row>
    <row r="12" spans="1:4" x14ac:dyDescent="0.25">
      <c r="A12" s="3">
        <f t="shared" si="0"/>
        <v>10</v>
      </c>
      <c r="B12" t="s">
        <v>168</v>
      </c>
      <c r="C12" t="s">
        <v>169</v>
      </c>
      <c r="D12" t="s">
        <v>151</v>
      </c>
    </row>
    <row r="13" spans="1:4" x14ac:dyDescent="0.25">
      <c r="A13" s="3">
        <f t="shared" si="0"/>
        <v>11</v>
      </c>
      <c r="B13" t="s">
        <v>170</v>
      </c>
      <c r="C13" t="s">
        <v>169</v>
      </c>
      <c r="D13" t="s">
        <v>151</v>
      </c>
    </row>
    <row r="14" spans="1:4" x14ac:dyDescent="0.25">
      <c r="A14" s="3">
        <f t="shared" si="0"/>
        <v>12</v>
      </c>
      <c r="B14" t="s">
        <v>171</v>
      </c>
      <c r="C14" t="s">
        <v>172</v>
      </c>
      <c r="D14" t="s">
        <v>151</v>
      </c>
    </row>
    <row r="15" spans="1:4" x14ac:dyDescent="0.25">
      <c r="A15" s="3">
        <f t="shared" si="0"/>
        <v>13</v>
      </c>
      <c r="B15" t="s">
        <v>173</v>
      </c>
      <c r="C15" t="s">
        <v>172</v>
      </c>
      <c r="D15" t="s">
        <v>151</v>
      </c>
    </row>
    <row r="16" spans="1:4" x14ac:dyDescent="0.25">
      <c r="A16" s="3">
        <f t="shared" si="0"/>
        <v>14</v>
      </c>
      <c r="B16" t="s">
        <v>174</v>
      </c>
      <c r="C16" t="s">
        <v>172</v>
      </c>
      <c r="D16" t="s">
        <v>151</v>
      </c>
    </row>
    <row r="17" spans="1:4" x14ac:dyDescent="0.25">
      <c r="A17" s="3">
        <f t="shared" si="0"/>
        <v>15</v>
      </c>
      <c r="B17" t="s">
        <v>175</v>
      </c>
      <c r="C17" t="s">
        <v>172</v>
      </c>
      <c r="D17" t="s">
        <v>151</v>
      </c>
    </row>
    <row r="18" spans="1:4" x14ac:dyDescent="0.25">
      <c r="A18" s="3">
        <f t="shared" si="0"/>
        <v>16</v>
      </c>
      <c r="B18" t="s">
        <v>176</v>
      </c>
      <c r="C18" t="s">
        <v>172</v>
      </c>
      <c r="D18" t="s">
        <v>151</v>
      </c>
    </row>
    <row r="19" spans="1:4" x14ac:dyDescent="0.25">
      <c r="A19" s="3">
        <f t="shared" si="0"/>
        <v>17</v>
      </c>
      <c r="B19" t="s">
        <v>177</v>
      </c>
      <c r="C19" t="s">
        <v>172</v>
      </c>
      <c r="D19" t="s">
        <v>151</v>
      </c>
    </row>
    <row r="20" spans="1:4" x14ac:dyDescent="0.25">
      <c r="A20" s="3">
        <f t="shared" si="0"/>
        <v>18</v>
      </c>
      <c r="B20" t="s">
        <v>178</v>
      </c>
      <c r="C20" t="s">
        <v>167</v>
      </c>
      <c r="D20" t="s">
        <v>154</v>
      </c>
    </row>
    <row r="21" spans="1:4" x14ac:dyDescent="0.25">
      <c r="A21" s="3">
        <f t="shared" si="0"/>
        <v>19</v>
      </c>
      <c r="B21" t="s">
        <v>179</v>
      </c>
      <c r="C21" t="s">
        <v>167</v>
      </c>
      <c r="D21" t="s">
        <v>154</v>
      </c>
    </row>
    <row r="22" spans="1:4" x14ac:dyDescent="0.25">
      <c r="A22" s="3">
        <f t="shared" si="0"/>
        <v>20</v>
      </c>
      <c r="B22" t="s">
        <v>180</v>
      </c>
      <c r="C22" t="s">
        <v>167</v>
      </c>
      <c r="D22" t="s">
        <v>154</v>
      </c>
    </row>
    <row r="23" spans="1:4" x14ac:dyDescent="0.25">
      <c r="A23" s="3">
        <f t="shared" si="0"/>
        <v>21</v>
      </c>
      <c r="B23" t="s">
        <v>181</v>
      </c>
      <c r="C23" t="s">
        <v>167</v>
      </c>
      <c r="D23" t="s">
        <v>154</v>
      </c>
    </row>
    <row r="24" spans="1:4" x14ac:dyDescent="0.25">
      <c r="A24" s="3">
        <f t="shared" si="0"/>
        <v>22</v>
      </c>
      <c r="B24" t="s">
        <v>182</v>
      </c>
      <c r="C24" t="s">
        <v>167</v>
      </c>
      <c r="D24" t="s">
        <v>154</v>
      </c>
    </row>
    <row r="25" spans="1:4" x14ac:dyDescent="0.25">
      <c r="A25" s="3">
        <f t="shared" si="0"/>
        <v>23</v>
      </c>
      <c r="B25" t="s">
        <v>183</v>
      </c>
      <c r="C25" t="s">
        <v>167</v>
      </c>
      <c r="D25" t="s">
        <v>154</v>
      </c>
    </row>
    <row r="26" spans="1:4" x14ac:dyDescent="0.25">
      <c r="A26" s="3">
        <f t="shared" si="0"/>
        <v>24</v>
      </c>
      <c r="B26" t="s">
        <v>184</v>
      </c>
      <c r="C26" t="s">
        <v>167</v>
      </c>
      <c r="D26" t="s">
        <v>154</v>
      </c>
    </row>
    <row r="27" spans="1:4" x14ac:dyDescent="0.25">
      <c r="A27" s="3">
        <f t="shared" si="0"/>
        <v>25</v>
      </c>
      <c r="B27" t="s">
        <v>185</v>
      </c>
      <c r="C27" t="s">
        <v>167</v>
      </c>
      <c r="D27" t="s">
        <v>154</v>
      </c>
    </row>
    <row r="28" spans="1:4" x14ac:dyDescent="0.25">
      <c r="A28" s="3">
        <f t="shared" si="0"/>
        <v>26</v>
      </c>
      <c r="B28" t="s">
        <v>186</v>
      </c>
      <c r="C28" t="s">
        <v>167</v>
      </c>
      <c r="D28" t="s">
        <v>154</v>
      </c>
    </row>
    <row r="29" spans="1:4" x14ac:dyDescent="0.25">
      <c r="A29" s="3">
        <f t="shared" si="0"/>
        <v>27</v>
      </c>
      <c r="B29" t="s">
        <v>187</v>
      </c>
      <c r="C29" t="s">
        <v>167</v>
      </c>
      <c r="D29" t="s">
        <v>154</v>
      </c>
    </row>
    <row r="30" spans="1:4" x14ac:dyDescent="0.25">
      <c r="A30" s="3">
        <f t="shared" si="0"/>
        <v>28</v>
      </c>
      <c r="B30" t="s">
        <v>188</v>
      </c>
      <c r="C30" t="s">
        <v>162</v>
      </c>
      <c r="D30" t="s">
        <v>151</v>
      </c>
    </row>
    <row r="31" spans="1:4" x14ac:dyDescent="0.25">
      <c r="A31" s="3">
        <f t="shared" si="0"/>
        <v>29</v>
      </c>
      <c r="B31" t="s">
        <v>189</v>
      </c>
      <c r="C31" t="s">
        <v>162</v>
      </c>
      <c r="D31" t="s">
        <v>151</v>
      </c>
    </row>
    <row r="32" spans="1:4" x14ac:dyDescent="0.25">
      <c r="A32" s="3">
        <f t="shared" si="0"/>
        <v>30</v>
      </c>
      <c r="B32" t="s">
        <v>190</v>
      </c>
      <c r="C32" t="s">
        <v>162</v>
      </c>
      <c r="D32" t="s">
        <v>151</v>
      </c>
    </row>
    <row r="33" spans="1:4" x14ac:dyDescent="0.25">
      <c r="A33" s="3">
        <f t="shared" si="0"/>
        <v>31</v>
      </c>
      <c r="B33" t="s">
        <v>191</v>
      </c>
      <c r="C33" t="s">
        <v>162</v>
      </c>
      <c r="D33" t="s">
        <v>151</v>
      </c>
    </row>
    <row r="35" spans="1:4" ht="13" x14ac:dyDescent="0.3">
      <c r="A35" s="17" t="s">
        <v>192</v>
      </c>
      <c r="B35" s="18" t="s">
        <v>193</v>
      </c>
      <c r="C35" s="18" t="s">
        <v>194</v>
      </c>
      <c r="D35" s="18"/>
    </row>
    <row r="37" spans="1:4" x14ac:dyDescent="0.25">
      <c r="A37" t="s">
        <v>195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zoomScale="125" zoomScaleNormal="180" workbookViewId="0">
      <selection activeCell="B34" sqref="B34"/>
    </sheetView>
  </sheetViews>
  <sheetFormatPr defaultColWidth="11.6328125" defaultRowHeight="12.5" x14ac:dyDescent="0.25"/>
  <cols>
    <col min="1" max="5" width="21.7265625" customWidth="1"/>
  </cols>
  <sheetData>
    <row r="1" spans="1:5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</row>
    <row r="2" spans="1:5" x14ac:dyDescent="0.25">
      <c r="A2" t="s">
        <v>201</v>
      </c>
      <c r="B2" t="s">
        <v>202</v>
      </c>
      <c r="C2" t="s">
        <v>203</v>
      </c>
      <c r="D2" t="s">
        <v>204</v>
      </c>
      <c r="E2" t="s">
        <v>205</v>
      </c>
    </row>
    <row r="3" spans="1:5" x14ac:dyDescent="0.25">
      <c r="A3" t="s">
        <v>206</v>
      </c>
      <c r="B3" t="s">
        <v>207</v>
      </c>
      <c r="C3" t="s">
        <v>208</v>
      </c>
      <c r="D3" t="s">
        <v>209</v>
      </c>
      <c r="E3" t="s">
        <v>210</v>
      </c>
    </row>
    <row r="4" spans="1:5" x14ac:dyDescent="0.25">
      <c r="B4" t="s">
        <v>211</v>
      </c>
      <c r="C4" t="s">
        <v>212</v>
      </c>
      <c r="D4" t="s">
        <v>213</v>
      </c>
      <c r="E4" t="s">
        <v>214</v>
      </c>
    </row>
    <row r="5" spans="1:5" x14ac:dyDescent="0.25">
      <c r="A5" t="s">
        <v>215</v>
      </c>
      <c r="B5" t="s">
        <v>216</v>
      </c>
      <c r="C5" t="s">
        <v>217</v>
      </c>
      <c r="D5" t="s">
        <v>218</v>
      </c>
      <c r="E5" t="s">
        <v>219</v>
      </c>
    </row>
    <row r="6" spans="1:5" x14ac:dyDescent="0.25">
      <c r="A6" t="s">
        <v>220</v>
      </c>
      <c r="B6" t="s">
        <v>221</v>
      </c>
      <c r="C6" t="s">
        <v>222</v>
      </c>
      <c r="D6" t="s">
        <v>223</v>
      </c>
      <c r="E6" t="s">
        <v>224</v>
      </c>
    </row>
    <row r="7" spans="1:5" x14ac:dyDescent="0.25">
      <c r="B7" t="s">
        <v>225</v>
      </c>
      <c r="C7" t="s">
        <v>226</v>
      </c>
      <c r="D7" t="s">
        <v>227</v>
      </c>
      <c r="E7" t="s">
        <v>228</v>
      </c>
    </row>
    <row r="8" spans="1:5" x14ac:dyDescent="0.25">
      <c r="B8" t="s">
        <v>229</v>
      </c>
      <c r="C8" t="s">
        <v>230</v>
      </c>
      <c r="D8" t="s">
        <v>231</v>
      </c>
    </row>
    <row r="9" spans="1:5" x14ac:dyDescent="0.25">
      <c r="B9" t="s">
        <v>232</v>
      </c>
      <c r="C9" t="s">
        <v>233</v>
      </c>
    </row>
    <row r="10" spans="1:5" x14ac:dyDescent="0.25">
      <c r="B10" t="s">
        <v>234</v>
      </c>
      <c r="C10" t="s">
        <v>235</v>
      </c>
      <c r="D10" t="s">
        <v>236</v>
      </c>
    </row>
    <row r="11" spans="1:5" x14ac:dyDescent="0.25">
      <c r="B11" t="s">
        <v>237</v>
      </c>
      <c r="C11" t="s">
        <v>238</v>
      </c>
      <c r="D11" t="s">
        <v>239</v>
      </c>
    </row>
    <row r="12" spans="1:5" x14ac:dyDescent="0.25">
      <c r="B12" t="s">
        <v>240</v>
      </c>
      <c r="C12" t="s">
        <v>241</v>
      </c>
    </row>
    <row r="13" spans="1:5" x14ac:dyDescent="0.25">
      <c r="B13" t="s">
        <v>242</v>
      </c>
      <c r="C13" t="s">
        <v>233</v>
      </c>
    </row>
    <row r="14" spans="1:5" x14ac:dyDescent="0.25">
      <c r="B14" t="s">
        <v>243</v>
      </c>
      <c r="C14" t="s">
        <v>244</v>
      </c>
    </row>
    <row r="15" spans="1:5" x14ac:dyDescent="0.25">
      <c r="B15" t="s">
        <v>245</v>
      </c>
      <c r="C15" t="s">
        <v>234</v>
      </c>
    </row>
    <row r="16" spans="1:5" x14ac:dyDescent="0.25">
      <c r="B16" t="s">
        <v>246</v>
      </c>
      <c r="C16" t="s">
        <v>247</v>
      </c>
    </row>
    <row r="17" spans="2:3" x14ac:dyDescent="0.25">
      <c r="B17" t="s">
        <v>244</v>
      </c>
      <c r="C17" t="s">
        <v>248</v>
      </c>
    </row>
    <row r="18" spans="2:3" x14ac:dyDescent="0.25">
      <c r="B18" t="s">
        <v>234</v>
      </c>
    </row>
    <row r="19" spans="2:3" x14ac:dyDescent="0.25">
      <c r="B19" t="s">
        <v>249</v>
      </c>
    </row>
    <row r="20" spans="2:3" x14ac:dyDescent="0.25">
      <c r="B20" t="s">
        <v>250</v>
      </c>
    </row>
    <row r="21" spans="2:3" x14ac:dyDescent="0.25">
      <c r="B21" t="s">
        <v>251</v>
      </c>
    </row>
    <row r="22" spans="2:3" x14ac:dyDescent="0.25">
      <c r="B22" t="s">
        <v>252</v>
      </c>
    </row>
    <row r="23" spans="2:3" x14ac:dyDescent="0.25">
      <c r="B23" t="s">
        <v>253</v>
      </c>
    </row>
    <row r="24" spans="2:3" x14ac:dyDescent="0.25">
      <c r="B24" t="s">
        <v>254</v>
      </c>
    </row>
    <row r="25" spans="2:3" x14ac:dyDescent="0.25">
      <c r="B25" t="s">
        <v>255</v>
      </c>
    </row>
    <row r="26" spans="2:3" x14ac:dyDescent="0.25">
      <c r="B26" t="s">
        <v>256</v>
      </c>
    </row>
    <row r="27" spans="2:3" x14ac:dyDescent="0.25">
      <c r="B27" t="s">
        <v>257</v>
      </c>
    </row>
    <row r="28" spans="2:3" x14ac:dyDescent="0.25">
      <c r="B28" t="s">
        <v>254</v>
      </c>
    </row>
    <row r="29" spans="2:3" x14ac:dyDescent="0.25">
      <c r="B29" t="s">
        <v>258</v>
      </c>
    </row>
    <row r="30" spans="2:3" x14ac:dyDescent="0.25">
      <c r="B30" t="s">
        <v>259</v>
      </c>
    </row>
    <row r="31" spans="2:3" x14ac:dyDescent="0.25">
      <c r="B31" t="s">
        <v>260</v>
      </c>
    </row>
    <row r="32" spans="2:3" x14ac:dyDescent="0.25">
      <c r="B32" t="s">
        <v>261</v>
      </c>
    </row>
    <row r="33" spans="2:2" x14ac:dyDescent="0.25">
      <c r="B33" t="s">
        <v>262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95" zoomScaleNormal="95" workbookViewId="0">
      <selection activeCell="A11" sqref="A11"/>
    </sheetView>
  </sheetViews>
  <sheetFormatPr defaultColWidth="11.54296875" defaultRowHeight="12.5" x14ac:dyDescent="0.25"/>
  <sheetData>
    <row r="1" spans="1:2" x14ac:dyDescent="0.25">
      <c r="A1" t="s">
        <v>263</v>
      </c>
      <c r="B1" t="s">
        <v>264</v>
      </c>
    </row>
    <row r="2" spans="1:2" x14ac:dyDescent="0.25">
      <c r="A2" t="s">
        <v>265</v>
      </c>
      <c r="B2" t="s">
        <v>266</v>
      </c>
    </row>
    <row r="3" spans="1:2" x14ac:dyDescent="0.25">
      <c r="A3" t="s">
        <v>267</v>
      </c>
      <c r="B3" t="s">
        <v>268</v>
      </c>
    </row>
    <row r="4" spans="1:2" x14ac:dyDescent="0.25">
      <c r="A4" t="s">
        <v>269</v>
      </c>
      <c r="B4">
        <v>1</v>
      </c>
    </row>
    <row r="5" spans="1:2" x14ac:dyDescent="0.25">
      <c r="A5" t="s">
        <v>270</v>
      </c>
    </row>
    <row r="6" spans="1:2" x14ac:dyDescent="0.25">
      <c r="A6" t="s">
        <v>271</v>
      </c>
    </row>
    <row r="7" spans="1:2" x14ac:dyDescent="0.25">
      <c r="A7" t="s">
        <v>272</v>
      </c>
    </row>
    <row r="8" spans="1:2" x14ac:dyDescent="0.25">
      <c r="A8" t="s">
        <v>273</v>
      </c>
      <c r="B8" t="s">
        <v>274</v>
      </c>
    </row>
    <row r="9" spans="1:2" x14ac:dyDescent="0.25">
      <c r="A9" t="s">
        <v>275</v>
      </c>
    </row>
    <row r="10" spans="1:2" x14ac:dyDescent="0.25">
      <c r="A10" t="s">
        <v>276</v>
      </c>
    </row>
    <row r="11" spans="1:2" x14ac:dyDescent="0.25">
      <c r="A11" t="s">
        <v>277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ISA</vt:lpstr>
      <vt:lpstr>ISA Testcases</vt:lpstr>
      <vt:lpstr>Reg ABI</vt:lpstr>
      <vt:lpstr>Pipeline</vt:lpstr>
      <vt:lpstr>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Martinez, Joshua</cp:lastModifiedBy>
  <cp:revision>61</cp:revision>
  <cp:lastPrinted>2025-02-03T22:42:39Z</cp:lastPrinted>
  <dcterms:created xsi:type="dcterms:W3CDTF">2022-11-12T18:43:47Z</dcterms:created>
  <dcterms:modified xsi:type="dcterms:W3CDTF">2025-02-07T21:37:31Z</dcterms:modified>
  <dc:language>en-US</dc:language>
</cp:coreProperties>
</file>